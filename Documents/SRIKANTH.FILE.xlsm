
<file path=[Content_Types].xml><?xml version="1.0" encoding="utf-8"?>
<Types xmlns="http://schemas.openxmlformats.org/package/2006/content-types">
  <Default Extension="bin" ContentType="application/vnd.openxmlformats-officedocument.spreadsheetml.printerSettings"/>
  <Override PartName="/xl/drawings/drawing9.xml" ContentType="application/vnd.openxmlformats-officedocument.drawing+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drawings/drawing11.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5" codeName="{00000000-0000-0000-0000-000000000000}"/>
  <workbookPr codeName="ThisWorkbook" defaultThemeVersion="124226"/>
  <bookViews>
    <workbookView xWindow="-60" yWindow="-60" windowWidth="15480" windowHeight="11640" tabRatio="920" activeTab="1"/>
  </bookViews>
  <sheets>
    <sheet name="Instructions" sheetId="26" r:id="rId1"/>
    <sheet name="Employee Data Form" sheetId="2" r:id="rId2"/>
    <sheet name="Provident Fund" sheetId="12" r:id="rId3"/>
    <sheet name="EPFO" sheetId="34" r:id="rId4"/>
    <sheet name="Gratuity" sheetId="13" r:id="rId5"/>
    <sheet name="Insurance" sheetId="38" r:id="rId6"/>
    <sheet name="ID Card" sheetId="16" r:id="rId7"/>
    <sheet name="Share Dealing" sheetId="18" r:id="rId8"/>
    <sheet name="Corporate Policy" sheetId="19" r:id="rId9"/>
    <sheet name="IT Security Form" sheetId="27" r:id="rId10"/>
    <sheet name="Self Medical Declaration" sheetId="39" r:id="rId11"/>
    <sheet name="Certification" sheetId="42" r:id="rId12"/>
    <sheet name="Data Capture" sheetId="30" state="hidden" r:id="rId13"/>
    <sheet name="Sheet1" sheetId="35" state="hidden" r:id="rId14"/>
  </sheets>
  <definedNames>
    <definedName name="IV">#REF!</definedName>
    <definedName name="_xlnm.Print_Area" localSheetId="11">Certification!$B$1:$AC$27</definedName>
    <definedName name="_xlnm.Print_Area" localSheetId="1">'Employee Data Form'!$A$1:$AJ$221</definedName>
    <definedName name="_xlnm.Print_Area" localSheetId="2">'Provident Fund'!$A$1:$AN$86</definedName>
  </definedNames>
  <calcPr calcId="12451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5" i="42"/>
  <c r="G26"/>
  <c r="W87" i="34"/>
  <c r="W81"/>
  <c r="F46"/>
  <c r="S37"/>
  <c r="S34"/>
  <c r="T98"/>
  <c r="T97"/>
  <c r="K52"/>
  <c r="I49"/>
  <c r="AI16"/>
  <c r="AI15"/>
  <c r="AI14"/>
  <c r="AI13"/>
  <c r="AI12"/>
  <c r="AI11"/>
  <c r="AI10"/>
  <c r="AH13"/>
  <c r="AH14"/>
  <c r="AH15"/>
  <c r="AH16"/>
  <c r="AH12"/>
  <c r="AH11"/>
  <c r="AH10"/>
  <c r="AE16"/>
  <c r="AL48" i="2"/>
  <c r="AL47"/>
  <c r="AL46"/>
  <c r="AL45"/>
  <c r="AL44"/>
  <c r="AL43"/>
  <c r="AE15" i="34"/>
  <c r="I217" i="2"/>
  <c r="D213"/>
  <c r="I7" i="39"/>
  <c r="G37" s="1"/>
  <c r="D209" i="2"/>
  <c r="J8" i="38" s="1"/>
  <c r="N20" i="39"/>
  <c r="N16"/>
  <c r="N17"/>
  <c r="N18"/>
  <c r="N15"/>
  <c r="N14"/>
  <c r="N13"/>
  <c r="N12"/>
  <c r="N11"/>
  <c r="D128" i="34"/>
  <c r="M176" i="2"/>
  <c r="M175"/>
  <c r="M174"/>
  <c r="M162"/>
  <c r="M161"/>
  <c r="M160"/>
  <c r="M153"/>
  <c r="Y154"/>
  <c r="Y156"/>
  <c r="Y155"/>
  <c r="AG83"/>
  <c r="B165" i="30" s="1"/>
  <c r="AE83" i="2"/>
  <c r="B164" i="30" s="1"/>
  <c r="Z83" i="2"/>
  <c r="B162" i="30" s="1"/>
  <c r="X83" i="2"/>
  <c r="B161" i="30" s="1"/>
  <c r="U83" i="2"/>
  <c r="B151" i="30" s="1"/>
  <c r="S83" i="2"/>
  <c r="B150" i="30" s="1"/>
  <c r="N83" i="2"/>
  <c r="B148" i="30" s="1"/>
  <c r="L83" i="2"/>
  <c r="S15" i="38"/>
  <c r="S14"/>
  <c r="S13"/>
  <c r="S12"/>
  <c r="AL177" i="2"/>
  <c r="AL176"/>
  <c r="AL175"/>
  <c r="AL174"/>
  <c r="C15" i="38"/>
  <c r="L15" s="1"/>
  <c r="C14"/>
  <c r="L14"/>
  <c r="C13"/>
  <c r="L13" s="1"/>
  <c r="C12"/>
  <c r="L12"/>
  <c r="M177" i="2"/>
  <c r="AC40" i="13"/>
  <c r="B332" i="30"/>
  <c r="AC38" i="13"/>
  <c r="B327" i="30"/>
  <c r="AC36" i="13"/>
  <c r="B322" i="30"/>
  <c r="AC34" i="13"/>
  <c r="B317" i="30"/>
  <c r="E40" i="13"/>
  <c r="B328" i="30"/>
  <c r="E38" i="13"/>
  <c r="B323" i="30"/>
  <c r="E36" i="13"/>
  <c r="B318" i="30" s="1"/>
  <c r="E34" i="13"/>
  <c r="B313" i="30"/>
  <c r="AL163" i="2"/>
  <c r="AL162"/>
  <c r="AL160"/>
  <c r="AL161"/>
  <c r="M163"/>
  <c r="F55" i="12"/>
  <c r="Z55" s="1"/>
  <c r="V55"/>
  <c r="X55"/>
  <c r="F54"/>
  <c r="X54"/>
  <c r="Z54"/>
  <c r="F53"/>
  <c r="B288" i="30"/>
  <c r="C28" i="12"/>
  <c r="AC28" s="1"/>
  <c r="B264" i="30" s="1"/>
  <c r="B259"/>
  <c r="C31" i="12"/>
  <c r="B277" i="30"/>
  <c r="C30" i="12"/>
  <c r="Y30" s="1"/>
  <c r="C29"/>
  <c r="AC29"/>
  <c r="B270" i="30" s="1"/>
  <c r="M156" i="2"/>
  <c r="M155"/>
  <c r="M154"/>
  <c r="AM145"/>
  <c r="AM144"/>
  <c r="AL147"/>
  <c r="AL146"/>
  <c r="AL145"/>
  <c r="AL144"/>
  <c r="C62" i="13"/>
  <c r="AR8"/>
  <c r="AR9"/>
  <c r="AR10"/>
  <c r="AR11"/>
  <c r="AR7"/>
  <c r="AR6"/>
  <c r="AR2"/>
  <c r="AR3"/>
  <c r="I73" i="34"/>
  <c r="AE10"/>
  <c r="AE11"/>
  <c r="E43"/>
  <c r="H31"/>
  <c r="H28"/>
  <c r="K17"/>
  <c r="I17"/>
  <c r="G17"/>
  <c r="K14"/>
  <c r="K13"/>
  <c r="K12"/>
  <c r="AM3" i="38"/>
  <c r="AN3"/>
  <c r="AM4"/>
  <c r="AN4"/>
  <c r="AM5"/>
  <c r="AN5"/>
  <c r="AM6"/>
  <c r="AN6"/>
  <c r="AM7"/>
  <c r="AN7"/>
  <c r="AM8"/>
  <c r="AN8"/>
  <c r="AN2"/>
  <c r="AM2"/>
  <c r="AD25" i="34"/>
  <c r="G26"/>
  <c r="G38" i="39"/>
  <c r="L14" i="12"/>
  <c r="G20" i="38" s="1"/>
  <c r="M20" i="16"/>
  <c r="B11" i="30"/>
  <c r="B9"/>
  <c r="B252"/>
  <c r="X42" i="13"/>
  <c r="B336" i="30" s="1"/>
  <c r="H218" i="2"/>
  <c r="E51" i="18" s="1"/>
  <c r="E43" i="13"/>
  <c r="B334" i="30" s="1"/>
  <c r="B4"/>
  <c r="B5"/>
  <c r="B6"/>
  <c r="B7"/>
  <c r="B10"/>
  <c r="B12"/>
  <c r="B13"/>
  <c r="B14"/>
  <c r="B15"/>
  <c r="B16"/>
  <c r="B18"/>
  <c r="B19"/>
  <c r="B20"/>
  <c r="B21"/>
  <c r="B22"/>
  <c r="B23"/>
  <c r="B24"/>
  <c r="B25"/>
  <c r="B26"/>
  <c r="B27"/>
  <c r="B28"/>
  <c r="B29"/>
  <c r="B30"/>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9"/>
  <c r="B152"/>
  <c r="B153"/>
  <c r="B154"/>
  <c r="B155"/>
  <c r="B156"/>
  <c r="B157"/>
  <c r="B158"/>
  <c r="B159"/>
  <c r="B160"/>
  <c r="B163"/>
  <c r="B166"/>
  <c r="B167"/>
  <c r="B168"/>
  <c r="B169"/>
  <c r="B170"/>
  <c r="B171"/>
  <c r="B172"/>
  <c r="B173"/>
  <c r="B174"/>
  <c r="B175"/>
  <c r="B176"/>
  <c r="B177"/>
  <c r="B178"/>
  <c r="B179"/>
  <c r="B180"/>
  <c r="B181"/>
  <c r="B182"/>
  <c r="B183"/>
  <c r="B184"/>
  <c r="B185"/>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50"/>
  <c r="B253"/>
  <c r="B254"/>
  <c r="B256"/>
  <c r="B300"/>
  <c r="B303"/>
  <c r="B306"/>
  <c r="B312"/>
  <c r="B333"/>
  <c r="B337"/>
  <c r="B339"/>
  <c r="B340"/>
  <c r="B341"/>
  <c r="B342"/>
  <c r="B343"/>
  <c r="B344"/>
  <c r="B345"/>
  <c r="B347"/>
  <c r="B350"/>
  <c r="B353"/>
  <c r="B356"/>
  <c r="B359"/>
  <c r="B363"/>
  <c r="B364"/>
  <c r="B366"/>
  <c r="B367"/>
  <c r="B368"/>
  <c r="B369"/>
  <c r="B371"/>
  <c r="B372"/>
  <c r="B373"/>
  <c r="B374"/>
  <c r="B376"/>
  <c r="B377"/>
  <c r="B378"/>
  <c r="B379"/>
  <c r="B381"/>
  <c r="B382"/>
  <c r="B385"/>
  <c r="B386"/>
  <c r="B387"/>
  <c r="B388"/>
  <c r="B390"/>
  <c r="B392"/>
  <c r="B393"/>
  <c r="B394"/>
  <c r="B395"/>
  <c r="B396"/>
  <c r="B397"/>
  <c r="B398"/>
  <c r="B399"/>
  <c r="B400"/>
  <c r="B401"/>
  <c r="B402"/>
  <c r="B403"/>
  <c r="B404"/>
  <c r="B405"/>
  <c r="B406"/>
  <c r="B407"/>
  <c r="B408"/>
  <c r="B409"/>
  <c r="B410"/>
  <c r="B411"/>
  <c r="B412"/>
  <c r="B413"/>
  <c r="B414"/>
  <c r="B415"/>
  <c r="B416"/>
  <c r="B417"/>
  <c r="B418"/>
  <c r="B419"/>
  <c r="B420"/>
  <c r="B421"/>
  <c r="B423"/>
  <c r="B426"/>
  <c r="B429"/>
  <c r="B432"/>
  <c r="B435"/>
  <c r="B438"/>
  <c r="B440"/>
  <c r="B441"/>
  <c r="B442"/>
  <c r="B443"/>
  <c r="B444"/>
  <c r="B445"/>
  <c r="B446"/>
  <c r="B447"/>
  <c r="B448"/>
  <c r="B449"/>
  <c r="B450"/>
  <c r="B451"/>
  <c r="B452"/>
  <c r="B453"/>
  <c r="B454"/>
  <c r="B455"/>
  <c r="B456"/>
  <c r="B457"/>
  <c r="B422"/>
  <c r="B424"/>
  <c r="B425"/>
  <c r="B427"/>
  <c r="B428"/>
  <c r="B430"/>
  <c r="B431"/>
  <c r="B433"/>
  <c r="B434"/>
  <c r="B436"/>
  <c r="B437"/>
  <c r="B439"/>
  <c r="D26" i="27"/>
  <c r="B384" i="30"/>
  <c r="G24" i="19"/>
  <c r="M38" i="18"/>
  <c r="M24" i="16"/>
  <c r="B365" i="30"/>
  <c r="B370"/>
  <c r="B375"/>
  <c r="B380"/>
  <c r="B349"/>
  <c r="B352"/>
  <c r="B355"/>
  <c r="B358"/>
  <c r="B361"/>
  <c r="AM2" i="13"/>
  <c r="AN2"/>
  <c r="AO2"/>
  <c r="AP2"/>
  <c r="AQ2"/>
  <c r="AM3"/>
  <c r="AN3"/>
  <c r="AO3"/>
  <c r="AP3"/>
  <c r="AQ3"/>
  <c r="AM6"/>
  <c r="AN6"/>
  <c r="AO6"/>
  <c r="AP6"/>
  <c r="AQ6"/>
  <c r="AM7"/>
  <c r="AN7"/>
  <c r="AO7"/>
  <c r="AP7"/>
  <c r="AQ7"/>
  <c r="AM8"/>
  <c r="AN8"/>
  <c r="AO8"/>
  <c r="AP8"/>
  <c r="AQ8"/>
  <c r="AM9"/>
  <c r="AN9"/>
  <c r="AO9"/>
  <c r="AP9"/>
  <c r="AQ9"/>
  <c r="AM10"/>
  <c r="AN10"/>
  <c r="AO10"/>
  <c r="AP10"/>
  <c r="AQ10"/>
  <c r="AM11"/>
  <c r="AN11"/>
  <c r="AO11"/>
  <c r="AP11"/>
  <c r="AQ11"/>
  <c r="K17"/>
  <c r="P42"/>
  <c r="B335" i="30" s="1"/>
  <c r="M53" i="13"/>
  <c r="F54"/>
  <c r="Y54"/>
  <c r="R55"/>
  <c r="AC60"/>
  <c r="F65"/>
  <c r="AM2" i="12"/>
  <c r="AN2"/>
  <c r="AO2"/>
  <c r="AP2"/>
  <c r="AQ2"/>
  <c r="AR2"/>
  <c r="AM3"/>
  <c r="AN3"/>
  <c r="AO3"/>
  <c r="AP3"/>
  <c r="AQ3"/>
  <c r="AR3"/>
  <c r="AM4"/>
  <c r="AN4"/>
  <c r="AO4"/>
  <c r="AP4"/>
  <c r="AQ4"/>
  <c r="AM5"/>
  <c r="AN5"/>
  <c r="AO5"/>
  <c r="AP5"/>
  <c r="AQ5"/>
  <c r="AM6"/>
  <c r="AN6"/>
  <c r="AO6"/>
  <c r="AP6"/>
  <c r="AQ6"/>
  <c r="AM7"/>
  <c r="AN7"/>
  <c r="AO7"/>
  <c r="AP7"/>
  <c r="AQ7"/>
  <c r="AM8"/>
  <c r="AN8"/>
  <c r="AO8"/>
  <c r="AP8"/>
  <c r="AQ8"/>
  <c r="AM9"/>
  <c r="AN9"/>
  <c r="AO9"/>
  <c r="AP9"/>
  <c r="AQ9"/>
  <c r="K16"/>
  <c r="AA16"/>
  <c r="I17"/>
  <c r="H20"/>
  <c r="H21"/>
  <c r="U63"/>
  <c r="AA63"/>
  <c r="B302" i="30" s="1"/>
  <c r="U64" i="12"/>
  <c r="W64"/>
  <c r="Y64"/>
  <c r="AA64"/>
  <c r="B305" i="30" s="1"/>
  <c r="U65" i="12"/>
  <c r="W65"/>
  <c r="Y65"/>
  <c r="AA65"/>
  <c r="B308" i="30" s="1"/>
  <c r="E74" i="12"/>
  <c r="E79"/>
  <c r="B309" i="30" s="1"/>
  <c r="B255"/>
  <c r="B8"/>
  <c r="AL63" i="2"/>
  <c r="AL64"/>
  <c r="AL65"/>
  <c r="AL66"/>
  <c r="AL67"/>
  <c r="AL68"/>
  <c r="K80"/>
  <c r="W80"/>
  <c r="M15" i="12"/>
  <c r="B357" i="30"/>
  <c r="B348"/>
  <c r="B360"/>
  <c r="B354"/>
  <c r="B351"/>
  <c r="Y63" i="12"/>
  <c r="W63"/>
  <c r="B17" i="30"/>
  <c r="Y153" i="2"/>
  <c r="F52" i="12"/>
  <c r="B284" i="30" s="1"/>
  <c r="P38" i="13"/>
  <c r="B325" i="30" s="1"/>
  <c r="Y29" i="12"/>
  <c r="AL30" s="1"/>
  <c r="V54"/>
  <c r="U30"/>
  <c r="L54"/>
  <c r="B293" i="30" s="1"/>
  <c r="AB54" i="12"/>
  <c r="B295" i="30" s="1"/>
  <c r="E35" i="13"/>
  <c r="B314" i="30" s="1"/>
  <c r="P34" i="13"/>
  <c r="B315" i="30" s="1"/>
  <c r="X34" i="13"/>
  <c r="B316" i="30" s="1"/>
  <c r="O29" i="12"/>
  <c r="B267" i="30" s="1"/>
  <c r="U31" i="12"/>
  <c r="B147" i="30"/>
  <c r="X38" i="13"/>
  <c r="B326" i="30" s="1"/>
  <c r="I29" i="12"/>
  <c r="B266" i="30"/>
  <c r="E39" i="13"/>
  <c r="B324" i="30" s="1"/>
  <c r="AB55" i="12"/>
  <c r="B299" i="30" s="1"/>
  <c r="S31" i="12"/>
  <c r="W31"/>
  <c r="L55"/>
  <c r="B297" i="30"/>
  <c r="B296"/>
  <c r="S28" i="12"/>
  <c r="I28"/>
  <c r="B260" i="30"/>
  <c r="E37" i="13"/>
  <c r="B319" i="30" s="1"/>
  <c r="U28" i="12"/>
  <c r="O28"/>
  <c r="B261" i="30" s="1"/>
  <c r="V53" i="12"/>
  <c r="X53"/>
  <c r="Z53"/>
  <c r="L53"/>
  <c r="B289" i="30" s="1"/>
  <c r="U29" i="12"/>
  <c r="S29"/>
  <c r="W29"/>
  <c r="I31"/>
  <c r="B278" i="30" s="1"/>
  <c r="B265"/>
  <c r="AB53" i="12"/>
  <c r="B291" i="30" s="1"/>
  <c r="W28" i="12"/>
  <c r="Y31"/>
  <c r="B281" i="30" s="1"/>
  <c r="O31" i="12"/>
  <c r="B279" i="30" s="1"/>
  <c r="J132" i="34"/>
  <c r="Y28" i="12"/>
  <c r="AL31" s="1"/>
  <c r="B292" i="30"/>
  <c r="AC31" i="12"/>
  <c r="B282" i="30" s="1"/>
  <c r="P40" i="13"/>
  <c r="B330" i="30" s="1"/>
  <c r="B271"/>
  <c r="X36" i="13"/>
  <c r="B321" i="30" s="1"/>
  <c r="P36" i="13"/>
  <c r="B320" i="30" s="1"/>
  <c r="S30" i="12"/>
  <c r="X40" i="13"/>
  <c r="B331" i="30" s="1"/>
  <c r="W30" i="12"/>
  <c r="I30"/>
  <c r="B272" i="30" s="1"/>
  <c r="E41" i="13"/>
  <c r="B329" i="30" s="1"/>
  <c r="O30" i="12"/>
  <c r="B273" i="30" s="1"/>
  <c r="AC30" i="12"/>
  <c r="B276" i="30" s="1"/>
  <c r="AE17" i="34"/>
  <c r="K19" s="1"/>
  <c r="AE13"/>
  <c r="G13" s="1"/>
  <c r="J26"/>
  <c r="M26"/>
  <c r="AN83" i="2"/>
  <c r="AM83"/>
  <c r="B275" i="30" l="1"/>
  <c r="AL29" i="12"/>
  <c r="B269" i="30"/>
  <c r="AL28" i="12"/>
  <c r="Z52"/>
  <c r="AA23" i="27"/>
  <c r="X52" i="12"/>
  <c r="B286" i="30" s="1"/>
  <c r="G77" i="13"/>
  <c r="AB52" i="12"/>
  <c r="B287" i="30" s="1"/>
  <c r="V52" i="12"/>
  <c r="B263" i="30"/>
  <c r="L52" i="12"/>
  <c r="B285" i="30" s="1"/>
  <c r="AL83" i="2"/>
  <c r="B307" i="30"/>
  <c r="B298"/>
  <c r="B274"/>
  <c r="B280"/>
  <c r="B294"/>
  <c r="B290"/>
  <c r="B304"/>
  <c r="B268"/>
  <c r="B262"/>
  <c r="B301"/>
  <c r="AF17" i="34"/>
  <c r="M23" s="1"/>
  <c r="Y22" i="19"/>
  <c r="P23" i="27"/>
  <c r="E88" i="13"/>
  <c r="T21" i="38"/>
  <c r="B249" i="30"/>
  <c r="F66" i="13"/>
  <c r="E67" i="12"/>
  <c r="D127" i="34" s="1"/>
  <c r="U77" i="13"/>
  <c r="U29" i="27"/>
  <c r="J23" i="34" l="1"/>
</calcChain>
</file>

<file path=xl/sharedStrings.xml><?xml version="1.0" encoding="utf-8"?>
<sst xmlns="http://schemas.openxmlformats.org/spreadsheetml/2006/main" count="1352" uniqueCount="1125">
  <si>
    <t>Joining Report</t>
  </si>
  <si>
    <t>Name</t>
  </si>
  <si>
    <t>Department</t>
  </si>
  <si>
    <t>Location</t>
  </si>
  <si>
    <t>Employee Data Form</t>
  </si>
  <si>
    <t>Date of Birth</t>
  </si>
  <si>
    <t>Gender</t>
  </si>
  <si>
    <t>Nationality</t>
  </si>
  <si>
    <t>Category</t>
  </si>
  <si>
    <t>Religion</t>
  </si>
  <si>
    <t>Marital Status</t>
  </si>
  <si>
    <t>Sr No</t>
  </si>
  <si>
    <t>Name of Family Member</t>
  </si>
  <si>
    <t>Relationship</t>
  </si>
  <si>
    <t>Occupation</t>
  </si>
  <si>
    <t>To</t>
  </si>
  <si>
    <t>Position(s) held</t>
  </si>
  <si>
    <t>Reason for leaving</t>
  </si>
  <si>
    <t>Office Landline Numbers</t>
  </si>
  <si>
    <t>Dates Employed</t>
  </si>
  <si>
    <t>Gross Salary</t>
  </si>
  <si>
    <t>Employee Code</t>
  </si>
  <si>
    <t>Mobile Number</t>
  </si>
  <si>
    <t>Position</t>
  </si>
  <si>
    <t>Name of the person</t>
  </si>
  <si>
    <t>Address</t>
  </si>
  <si>
    <t>Date</t>
  </si>
  <si>
    <t>NOMINATION AND DECLARATION FORM FOR</t>
  </si>
  <si>
    <t>UNEXEMPTED / EXEMPTED ESTABLISHMENT</t>
  </si>
  <si>
    <t>Declaration and Nomination Form under the Employee's</t>
  </si>
  <si>
    <t>Provident Fund &amp; Employee's Pension scheme</t>
  </si>
  <si>
    <t>For Office use only</t>
  </si>
  <si>
    <t>1 .</t>
  </si>
  <si>
    <t>2 .</t>
  </si>
  <si>
    <t>3 .</t>
  </si>
  <si>
    <t>4 .</t>
  </si>
  <si>
    <t xml:space="preserve">5 .   </t>
  </si>
  <si>
    <t>7 .</t>
  </si>
  <si>
    <t>Permanent</t>
  </si>
  <si>
    <t>Temporary</t>
  </si>
  <si>
    <t>PART -A (EPF)</t>
  </si>
  <si>
    <t>Name of the Nominees</t>
  </si>
  <si>
    <t>*</t>
  </si>
  <si>
    <t>(P.T.O)</t>
  </si>
  <si>
    <t>PART-B (EPS)</t>
  </si>
  <si>
    <t>Relationship with member</t>
  </si>
  <si>
    <t>Relationship with the member</t>
  </si>
  <si>
    <t>Signature of thumb impression of the subscriber</t>
  </si>
  <si>
    <t>CERTIFICATE BY EMPLOYER</t>
  </si>
  <si>
    <t>Place</t>
  </si>
  <si>
    <t>FORM 'F'</t>
  </si>
  <si>
    <t>NOMINATION</t>
  </si>
  <si>
    <t>THE PAYMENT OF GRATUITY ACT 1972</t>
  </si>
  <si>
    <t>(Give here name or description of the Establishment with full address)</t>
  </si>
  <si>
    <t>I hereby declare that I have no family within the meaning of clause (h) of section 2 of the said Act.</t>
  </si>
  <si>
    <t>5 .</t>
  </si>
  <si>
    <t>I have excluded my husband from my family by a notice dated the</t>
  </si>
  <si>
    <t>NOMINEE (S)</t>
  </si>
  <si>
    <t>so on,</t>
  </si>
  <si>
    <t>STATEMENT</t>
  </si>
  <si>
    <t>Name of the emploee in full</t>
  </si>
  <si>
    <t>Sex</t>
  </si>
  <si>
    <t>6 .</t>
  </si>
  <si>
    <t>Date of appointment</t>
  </si>
  <si>
    <t>DECLARATION BY WITNESSES</t>
  </si>
  <si>
    <t>Name in full and address of witness</t>
  </si>
  <si>
    <t>Place  :</t>
  </si>
  <si>
    <t>Date  :</t>
  </si>
  <si>
    <t>Signature of witnesses</t>
  </si>
  <si>
    <t>CERTIFICATE BY THE EMPLOYER</t>
  </si>
  <si>
    <t>ACKNOWLEDGEMENT BY THE EMPLOYEE</t>
  </si>
  <si>
    <t>NAME</t>
  </si>
  <si>
    <t>Beneficiary Nomination Form</t>
  </si>
  <si>
    <t xml:space="preserve">For  HR use only </t>
  </si>
  <si>
    <t>Signature :</t>
  </si>
  <si>
    <t>Kotak Term Grouplan</t>
  </si>
  <si>
    <t>PLAN NAME :</t>
  </si>
  <si>
    <t>POLICY NUMBER :</t>
  </si>
  <si>
    <t>Employee Number :</t>
  </si>
  <si>
    <t>APPLICATION FOR IDENTITY CARD</t>
  </si>
  <si>
    <t>PLEASE ENTER THE DETAILS IN CAPITALS</t>
  </si>
  <si>
    <t xml:space="preserve">ACKNOWLEDGEMENT FORM FOR EMPLOYEE SHARE DEALING CODE </t>
  </si>
  <si>
    <t xml:space="preserve">Declaration </t>
  </si>
  <si>
    <t>Name of Director/ Employee :</t>
  </si>
  <si>
    <t>Employee Code :</t>
  </si>
  <si>
    <t>Date :</t>
  </si>
  <si>
    <t>MEMORANDUM</t>
  </si>
  <si>
    <t>Name :</t>
  </si>
  <si>
    <t>(in block capitals)</t>
  </si>
  <si>
    <t>Department :</t>
  </si>
  <si>
    <t>Employee No :</t>
  </si>
  <si>
    <t>For  Human Resources Use Only :</t>
  </si>
  <si>
    <t>Data Entered :</t>
  </si>
  <si>
    <t>To,</t>
  </si>
  <si>
    <t>6  .</t>
  </si>
  <si>
    <t>Reason for Leaving</t>
  </si>
  <si>
    <t>Reference Name</t>
  </si>
  <si>
    <t>Contact Person (In case of Emergency)</t>
  </si>
  <si>
    <t>Tel . Number</t>
  </si>
  <si>
    <t>Cell  Number</t>
  </si>
  <si>
    <r>
      <rPr>
        <b/>
        <sz val="10"/>
        <color indexed="8"/>
        <rFont val="Calibri"/>
        <family val="2"/>
      </rPr>
      <t>Name</t>
    </r>
    <r>
      <rPr>
        <b/>
        <sz val="11"/>
        <color indexed="8"/>
        <rFont val="Calibri"/>
        <family val="2"/>
      </rPr>
      <t xml:space="preserve">
</t>
    </r>
    <r>
      <rPr>
        <sz val="8"/>
        <color indexed="8"/>
        <rFont val="Calibri"/>
        <family val="2"/>
      </rPr>
      <t>(In Block Letters)</t>
    </r>
  </si>
  <si>
    <t>Designation</t>
  </si>
  <si>
    <t xml:space="preserve">Strike out which ever is not applicable  </t>
  </si>
  <si>
    <t xml:space="preserve">Signature or thumb impression of the subscriber </t>
  </si>
  <si>
    <t>I hereby furnish below particulars of the members of my family who would be eligible to receive widow/</t>
  </si>
  <si>
    <t>children pension in the event of my death</t>
  </si>
  <si>
    <t>Sr . No.</t>
  </si>
  <si>
    <t xml:space="preserve">Name &amp; Address of the family member </t>
  </si>
  <si>
    <t>I hereby nominate the following person for receiving the monthly widow pension (admissible under para</t>
  </si>
  <si>
    <t>Name &amp; Address of the nominee</t>
  </si>
  <si>
    <t xml:space="preserve">* Strike out whichever is not applicable </t>
  </si>
  <si>
    <t>Signature of the employer or other Authorised</t>
  </si>
  <si>
    <t>Officer of the establishment</t>
  </si>
  <si>
    <t>Name &amp; Address of the Factory/ Establishment or Rubber Stamp thereof .</t>
  </si>
  <si>
    <t>Signature of the employer/office authorised .</t>
  </si>
  <si>
    <t>EMPLOYEE SIGNATURE  :</t>
  </si>
  <si>
    <t>I acknowledge the receipt of Kotak Mahindra Bank Limited Employee Share Dealing Code and procedures</t>
  </si>
  <si>
    <t xml:space="preserve">made thereunder ("the code.") .I have read the code &amp; hereby confirm my understanding  &amp; acceptance </t>
  </si>
  <si>
    <t>of the code .</t>
  </si>
  <si>
    <t xml:space="preserve">I hereby authorise the Bank or any of its Directors or Officers or seek such information as they deem </t>
  </si>
  <si>
    <t xml:space="preserve">authority or agency  that may be in possession of information relating to any trading activity carried on by </t>
  </si>
  <si>
    <t>Branch / Department :</t>
  </si>
  <si>
    <t>procedures as may be in the force from time to time &amp; may subject me to disciplinary action .</t>
  </si>
  <si>
    <t>(Signature ,Name,Designation &amp; Date)</t>
  </si>
  <si>
    <t>Sent to compliance for review :</t>
  </si>
  <si>
    <t>Passport No.</t>
  </si>
  <si>
    <t>Blood Group</t>
  </si>
  <si>
    <t>Pincode</t>
  </si>
  <si>
    <t>Personal Email ID</t>
  </si>
  <si>
    <t>Permanent Address</t>
  </si>
  <si>
    <t>Subject of Specialisation</t>
  </si>
  <si>
    <t>School / College / Institute and Location</t>
  </si>
  <si>
    <t>Month</t>
  </si>
  <si>
    <t>Month &amp; 
Year of 
Passing</t>
  </si>
  <si>
    <t>Degree /
 Diploma</t>
  </si>
  <si>
    <t>University /
 Board</t>
  </si>
  <si>
    <t>% of 
Marks</t>
  </si>
  <si>
    <t>Date Of Birth</t>
  </si>
  <si>
    <t>Relation</t>
  </si>
  <si>
    <t>Organisation Name</t>
  </si>
  <si>
    <t>Experience Records (Begin with last employment)</t>
  </si>
  <si>
    <t>Employment Details of Last Employment</t>
  </si>
  <si>
    <t>Employer Name and full address</t>
  </si>
  <si>
    <t>Job Title / Designation</t>
  </si>
  <si>
    <t>to</t>
  </si>
  <si>
    <t>Last Employment (Emp 1)</t>
  </si>
  <si>
    <t>Prior to Last Employment (Emp 2)</t>
  </si>
  <si>
    <t>Reference Designation</t>
  </si>
  <si>
    <t>Landline Number</t>
  </si>
  <si>
    <t>Period for which he/she knows the candidate</t>
  </si>
  <si>
    <t>Association with the candidate</t>
  </si>
  <si>
    <t>Reference Organisation Name</t>
  </si>
  <si>
    <t>Reference 1</t>
  </si>
  <si>
    <t>Reference 2</t>
  </si>
  <si>
    <t>Do you have any of your relatives working with Kotak Group companies or its subsidiaries ?</t>
  </si>
  <si>
    <t>If  yes, please provide the below details</t>
  </si>
  <si>
    <t>Employee code
(if available)</t>
  </si>
  <si>
    <t>Relationship with
the person</t>
  </si>
  <si>
    <t>Name of the
Company</t>
  </si>
  <si>
    <t>I,</t>
  </si>
  <si>
    <t>Inward No:</t>
  </si>
  <si>
    <t>FORM 2 (REVISED)</t>
  </si>
  <si>
    <t>Group No.:</t>
  </si>
  <si>
    <t>Office At.:</t>
  </si>
  <si>
    <t>(Paragraph 33 &amp; 61(1) of the Employees' Provident Fund Scheme,</t>
  </si>
  <si>
    <t>1952 &amp; paragraph 18 of the Employees' Pension Scheme, 1995)</t>
  </si>
  <si>
    <t>Name (In Block Letters)</t>
  </si>
  <si>
    <t>Father's/ Husband's Name</t>
  </si>
  <si>
    <t>Account No</t>
  </si>
  <si>
    <t>(married / unmarried / widow / widower)</t>
  </si>
  <si>
    <t>Nominee's relationship with the member</t>
  </si>
  <si>
    <t>Total amount or share of accumula-tions in Provident Fund to be paid to each nominee</t>
  </si>
  <si>
    <t>I hereby nominate the person(s) / cancel the nomination made by me previously &amp; nominate the person(s)</t>
  </si>
  <si>
    <t>mentioned below to receive the amount standing to my credit in Employees' Provident Fund, in the event of my death</t>
  </si>
  <si>
    <t>If the nominee is a minor, name &amp; relationship &amp; address of the guardian who may receive the amount during the minority of nominee</t>
  </si>
  <si>
    <t>* Certified that I have no family as denied in para2(g) of the Employee's Provident fund  Scheme ,1952</t>
  </si>
  <si>
    <t>and should I acquire a family hereafter the above nomination should be deemed as cancalled.</t>
  </si>
  <si>
    <t>Para 18</t>
  </si>
  <si>
    <t xml:space="preserve">* Certified that I have no family, as defined in para 2 (vii) of the Employees' Pension Scheme, 1995 &amp; should </t>
  </si>
  <si>
    <t>I acquire a family hereafter I shall furnish particulars thereon in the above form.</t>
  </si>
  <si>
    <t>16(2)(a)(i) &amp; (ii) in the event of my death without leaving any eligible family member for receiving pension.</t>
  </si>
  <si>
    <t>Kum</t>
  </si>
  <si>
    <t>Certified that the above declaration &amp; nomination has been signed/ thumb impressed before me by Shri/ Smt.</t>
  </si>
  <si>
    <t xml:space="preserve">employed in my establishment after he / she has read the entries / entries have been read over to him / her </t>
  </si>
  <si>
    <t>by me &amp; got confirmed by him / her</t>
  </si>
  <si>
    <t>[See Sub-rule (1) of Rule 6]</t>
  </si>
  <si>
    <t>I, Shri / Shrimati / Kumari</t>
  </si>
  <si>
    <t>Whose particulars are given in the statement below ,hereby nominate the person(s) mentioned elow to receive the gratuity</t>
  </si>
  <si>
    <t>payable after my death as also the gratuity standing to my credit in the event of my death before the amount has become</t>
  </si>
  <si>
    <t>payable, or having become payable has not been paid &amp;direct that the said amount of gratuity shall be paid in proportion</t>
  </si>
  <si>
    <t>indicate against the name (s) of the nominees (s)</t>
  </si>
  <si>
    <t>I hereby certify that the person (s) nominated is a/are members(s)of my family within the meaning of clause (h) of section 2</t>
  </si>
  <si>
    <t>of the payment of Gratuity Act, 1972.</t>
  </si>
  <si>
    <t xml:space="preserve">(a) My father / Mother / Parents is / are not dependent on me . </t>
  </si>
  <si>
    <t>(b) My husband's father / Mother / Parents is / are not dependent on my husband .</t>
  </si>
  <si>
    <t>to the controlling</t>
  </si>
  <si>
    <t>authority in terms of the proviso the clause  (h) of section (2) of the said Act.</t>
  </si>
  <si>
    <t>Nomination made herein invalidates my previous nomination.</t>
  </si>
  <si>
    <t>(1)</t>
  </si>
  <si>
    <t>(2)</t>
  </si>
  <si>
    <t>(3)</t>
  </si>
  <si>
    <t>(4)</t>
  </si>
  <si>
    <t>Name in full with full address
of Nominees(s)</t>
  </si>
  <si>
    <t>Relationship with
the employee</t>
  </si>
  <si>
    <t>Age of
nominee</t>
  </si>
  <si>
    <t>Proportion by
which the gratuity
will be shared</t>
  </si>
  <si>
    <t>Whether unmarried/married/widow/widower</t>
  </si>
  <si>
    <t>Department / Branch / Section where employed.</t>
  </si>
  <si>
    <t>Post held with Ticket No . or Serial No., if any</t>
  </si>
  <si>
    <t>Vilage</t>
  </si>
  <si>
    <t>Thana</t>
  </si>
  <si>
    <t>Subdivision</t>
  </si>
  <si>
    <t>Post Office</t>
  </si>
  <si>
    <t>District</t>
  </si>
  <si>
    <t>State</t>
  </si>
  <si>
    <t>Signature / Thumb-Impression of the Employee</t>
  </si>
  <si>
    <t>Nomination signed / thumb impressed before me .</t>
  </si>
  <si>
    <t>Certified that the particulars of the above nomination have been verified and recorded in this establishment.</t>
  </si>
  <si>
    <t>Employer's Reference No., If Any</t>
  </si>
  <si>
    <t>Designation:</t>
  </si>
  <si>
    <t>Date:</t>
  </si>
  <si>
    <t>Signature of the Employee</t>
  </si>
  <si>
    <t>Received the duplicate copy of nomination in Form 'F' filed by me and duly certified by the employer.</t>
  </si>
  <si>
    <r>
      <rPr>
        <b/>
        <sz val="11"/>
        <color indexed="8"/>
        <rFont val="Calibri"/>
        <family val="2"/>
      </rPr>
      <t>NOTE</t>
    </r>
    <r>
      <rPr>
        <b/>
        <sz val="10"/>
        <color indexed="8"/>
        <rFont val="Calibri"/>
        <family val="2"/>
      </rPr>
      <t xml:space="preserve">  :  </t>
    </r>
    <r>
      <rPr>
        <sz val="10"/>
        <color indexed="8"/>
        <rFont val="Calibri"/>
        <family val="2"/>
      </rPr>
      <t>Strike out the words and paragraphs not applicable.</t>
    </r>
  </si>
  <si>
    <t>Name of
Beneficiary *</t>
  </si>
  <si>
    <t>Relationship
to the policy
holder</t>
  </si>
  <si>
    <t>DATE</t>
  </si>
  <si>
    <t>Date of receipt of Form:</t>
  </si>
  <si>
    <t>Received By:</t>
  </si>
  <si>
    <t>Signature:</t>
  </si>
  <si>
    <t>EMP CODE</t>
  </si>
  <si>
    <t>BLOOD GROUP</t>
  </si>
  <si>
    <t>authorities and obtain details of any securities transaction done by me or my affected relative/s. I am also</t>
  </si>
  <si>
    <t>I am aware that the Bank reserves to itself the right to check with brokerage firms / relevent agencies and</t>
  </si>
  <si>
    <t>aware that in such circumstance, if the Bank after checking with brokerage firms / relevent agencies and</t>
  </si>
  <si>
    <t>authorities finds that securities transaction has been done by me in violation of the Code, the Bank has the</t>
  </si>
  <si>
    <t>right to take any action against me.</t>
  </si>
  <si>
    <t xml:space="preserve">necessary from any brokerage firm, stock exchange, clearing house, depository, bank or any other </t>
  </si>
  <si>
    <t>me or by any of my affected relatives. I agree and confirm that any information provided by an organisation</t>
  </si>
  <si>
    <t>pursuant to the authority hereby granted would not be a breach of confidentiality obligations contained in</t>
  </si>
  <si>
    <t>any agreement / arrangement between me and such organisation.</t>
  </si>
  <si>
    <t>Employee's Designation :</t>
  </si>
  <si>
    <t xml:space="preserve">This acknowledgement must be Signed and returned to the Human Resources Function, Kotak Mahindra </t>
  </si>
  <si>
    <t>Bank Ltd., within 10 days.</t>
  </si>
  <si>
    <t xml:space="preserve">and proprietary information. I have read and agreed to comply with these policies &amp; procedures. I </t>
  </si>
  <si>
    <t>understand and agree that failure to observe these policies and procedures and such other policies and</t>
  </si>
  <si>
    <t>Blood</t>
  </si>
  <si>
    <t>* Certified that my father / mother is / are dependent upon me.</t>
  </si>
  <si>
    <t>Name and address of the establishment or rubber stamp thereof</t>
  </si>
  <si>
    <t>BOMBAY BLOOD GROUP</t>
  </si>
  <si>
    <t>FATHER</t>
  </si>
  <si>
    <t>MOTHER</t>
  </si>
  <si>
    <t>SPOUSE</t>
  </si>
  <si>
    <t>SON</t>
  </si>
  <si>
    <t>DAUGHTER</t>
  </si>
  <si>
    <t>FATHER-IN-LAW</t>
  </si>
  <si>
    <t>BROTHER</t>
  </si>
  <si>
    <t>SISTER</t>
  </si>
  <si>
    <t>BROTHER-IN-LAW</t>
  </si>
  <si>
    <t>COUSIN</t>
  </si>
  <si>
    <t>GRAND FATHER</t>
  </si>
  <si>
    <t>GRAND MOTHER</t>
  </si>
  <si>
    <t>HINDUISM</t>
  </si>
  <si>
    <t>SIKHISM</t>
  </si>
  <si>
    <t>CHRISTIANITY</t>
  </si>
  <si>
    <t>BUDDHISM</t>
  </si>
  <si>
    <t>JAINISM</t>
  </si>
  <si>
    <t>JUDAISM</t>
  </si>
  <si>
    <t>OTHER</t>
  </si>
  <si>
    <t>ANDAMAN AND NICOBAR ISLANDS</t>
  </si>
  <si>
    <t>ASSAM</t>
  </si>
  <si>
    <t>BIHAR</t>
  </si>
  <si>
    <t>CHANDIGARH</t>
  </si>
  <si>
    <t>DADRA AND NAGAR HAVELI</t>
  </si>
  <si>
    <t>DAMAN AND DIU</t>
  </si>
  <si>
    <t>DELHI</t>
  </si>
  <si>
    <t>HIMACHAL PRADESH</t>
  </si>
  <si>
    <t>JAMMU AND KASHMIR</t>
  </si>
  <si>
    <t>JHARKHAND</t>
  </si>
  <si>
    <t>KARNATAKA</t>
  </si>
  <si>
    <t>KERALA</t>
  </si>
  <si>
    <t>MADHYA PRADESH</t>
  </si>
  <si>
    <t>MAHARASHTRA</t>
  </si>
  <si>
    <t>MEGHALAYA</t>
  </si>
  <si>
    <t>PUNJAB</t>
  </si>
  <si>
    <t>RAJASTHAN</t>
  </si>
  <si>
    <t>SIKKIM</t>
  </si>
  <si>
    <t>TAMIL NADU</t>
  </si>
  <si>
    <t>UTTARAKHAND</t>
  </si>
  <si>
    <t>WEST BENGAL</t>
  </si>
  <si>
    <t>JAN</t>
  </si>
  <si>
    <t>MAR</t>
  </si>
  <si>
    <t>APR</t>
  </si>
  <si>
    <t>MAY</t>
  </si>
  <si>
    <t>JUN</t>
  </si>
  <si>
    <t>AUG</t>
  </si>
  <si>
    <t>SEP</t>
  </si>
  <si>
    <t>OCT</t>
  </si>
  <si>
    <t>Proof</t>
  </si>
  <si>
    <t>PAN CARD</t>
  </si>
  <si>
    <t>VOTER ID CARD</t>
  </si>
  <si>
    <t>PASSPORT</t>
  </si>
  <si>
    <t>DRIVING LICENSE</t>
  </si>
  <si>
    <t xml:space="preserve">1. </t>
  </si>
  <si>
    <t xml:space="preserve">2. </t>
  </si>
  <si>
    <t xml:space="preserve">3. </t>
  </si>
  <si>
    <t xml:space="preserve">4. </t>
  </si>
  <si>
    <t>Supervisor Name</t>
  </si>
  <si>
    <t>After filling the form, please sign wherever the numbers have been provided. For e.g</t>
  </si>
  <si>
    <t xml:space="preserve">5. </t>
  </si>
  <si>
    <t>Please follow the guideline comments for entering information, wherever provided.</t>
  </si>
  <si>
    <t>Please ensure all information being captured is correct.</t>
  </si>
  <si>
    <t>INSTRUCTIONS FOR FILLING THE FORM</t>
  </si>
  <si>
    <t>AGREEMENT TO COMPLY WITH INFORMATION SECURITY GUIDELINES</t>
  </si>
  <si>
    <t>Each one of us is responsible for ensuring compliance with Kotak’s Information Security Guidelines.</t>
  </si>
  <si>
    <t>The undersigned confirms that he/she</t>
  </si>
  <si>
    <t>has read the relevant Information Security Acceptable Usage Guidelines and understands the</t>
  </si>
  <si>
    <t>p</t>
  </si>
  <si>
    <t>programme for all new joiners.</t>
  </si>
  <si>
    <t>understands that violators of these guidelines are subject to disciplinary measures including</t>
  </si>
  <si>
    <t>understands that access to the information systems of the company is a privilege which may</t>
  </si>
  <si>
    <t>be changed or revoked at the sole discretion of the company.</t>
  </si>
  <si>
    <t>will promptly report all violations of the information security policies and security incidents</t>
  </si>
  <si>
    <t>of to aristi@kotak.com</t>
  </si>
  <si>
    <t>procedures described therein.</t>
  </si>
  <si>
    <t>will attend the Information Security Induction training which is part of corporate induction</t>
  </si>
  <si>
    <t>termination of employement / contract.</t>
  </si>
  <si>
    <t>User's signature</t>
  </si>
  <si>
    <t>Witness name and signature</t>
  </si>
  <si>
    <t>User's name in block capital letter</t>
  </si>
  <si>
    <t>Please enter ALL details in BLOCK letters, except for email address.</t>
  </si>
  <si>
    <t xml:space="preserve">6. </t>
  </si>
  <si>
    <t>DECLARATION AND AUTHORIZATION</t>
  </si>
  <si>
    <t xml:space="preserve">7. </t>
  </si>
  <si>
    <t>ORANGE</t>
  </si>
  <si>
    <t>Supervisor Mobile No.</t>
  </si>
  <si>
    <t>Family</t>
  </si>
  <si>
    <t>Year</t>
  </si>
  <si>
    <t>Please fill family details correctly. If family details are not entered correctly,</t>
  </si>
  <si>
    <t>the nominee details wherever applicable, will not be captured properly.</t>
  </si>
  <si>
    <t xml:space="preserve">8. </t>
  </si>
  <si>
    <t>If information provided / entered is incorrect, it will reflect in</t>
  </si>
  <si>
    <t>Please use TAB to move from one field to the other, to go back use SHIFT+TAB</t>
  </si>
  <si>
    <t>Certain details such as Name, Date of Birth, Marital Status, Nominee details etc. once</t>
  </si>
  <si>
    <t>captured, will automatically reflect in the other sheets where required</t>
  </si>
  <si>
    <t>FIELD NAME</t>
  </si>
  <si>
    <t>DATA</t>
  </si>
  <si>
    <t>Page 1</t>
  </si>
  <si>
    <t>FIRSTNAME</t>
  </si>
  <si>
    <t>MIDDLENAME</t>
  </si>
  <si>
    <t>SURNAME</t>
  </si>
  <si>
    <t>PREFERRED NAME</t>
  </si>
  <si>
    <t>PREFERRED OFFICIAL EMAIL ID</t>
  </si>
  <si>
    <t>FATHER'S FIRSTNAME</t>
  </si>
  <si>
    <t>FATHER'S MIDDLENAME</t>
  </si>
  <si>
    <t>FATHER'S SURNAME</t>
  </si>
  <si>
    <t>DOB</t>
  </si>
  <si>
    <t>GENDER</t>
  </si>
  <si>
    <t>NATIONALITY</t>
  </si>
  <si>
    <t>CATEGORY</t>
  </si>
  <si>
    <t>PAN NO.</t>
  </si>
  <si>
    <t>PASSPORT NO.</t>
  </si>
  <si>
    <t>MARITAL STATUS</t>
  </si>
  <si>
    <t>BLOOD GRP</t>
  </si>
  <si>
    <t>ANNIV DATE</t>
  </si>
  <si>
    <t>RELIGION</t>
  </si>
  <si>
    <t>DOMICILE</t>
  </si>
  <si>
    <t>RESI ADD</t>
  </si>
  <si>
    <t>RESI PINCODE</t>
  </si>
  <si>
    <t>RESI TEL NO.</t>
  </si>
  <si>
    <t>PERSONAL EMAIL ID</t>
  </si>
  <si>
    <t>CELL NO.</t>
  </si>
  <si>
    <t>PERM ADD</t>
  </si>
  <si>
    <t>PERM PINCODE</t>
  </si>
  <si>
    <t>PERM TEL NO.</t>
  </si>
  <si>
    <t>Page 2</t>
  </si>
  <si>
    <t>FAM1 NAME</t>
  </si>
  <si>
    <t>FAM1 REL</t>
  </si>
  <si>
    <t>FAM1 DOB</t>
  </si>
  <si>
    <t>FAM1 WORK</t>
  </si>
  <si>
    <t>FAM2 NAME</t>
  </si>
  <si>
    <t>FAM2 REL</t>
  </si>
  <si>
    <t>FAM2 DOB</t>
  </si>
  <si>
    <t>FAM2 WORK</t>
  </si>
  <si>
    <t>FAM3 NAME</t>
  </si>
  <si>
    <t>FAM3 REL</t>
  </si>
  <si>
    <t>FAM3 DOB</t>
  </si>
  <si>
    <t>FAM3 WORK</t>
  </si>
  <si>
    <t>FAM4 NAME</t>
  </si>
  <si>
    <t>FAM4 REL</t>
  </si>
  <si>
    <t>FAM4 DOB</t>
  </si>
  <si>
    <t>FAM4 WORK</t>
  </si>
  <si>
    <t>FAM5 NAME</t>
  </si>
  <si>
    <t>FAM5 REL</t>
  </si>
  <si>
    <t>FAM5 DOB</t>
  </si>
  <si>
    <t>FAM5 WORK</t>
  </si>
  <si>
    <t>FAM6 NAME</t>
  </si>
  <si>
    <t>FAM6 REL</t>
  </si>
  <si>
    <t>FAM6 DOB</t>
  </si>
  <si>
    <t>FAM6 WORK</t>
  </si>
  <si>
    <t>FAM7 NAME</t>
  </si>
  <si>
    <t>FAM7 REL</t>
  </si>
  <si>
    <t>FAM7 DOB</t>
  </si>
  <si>
    <t>FAM7 WORK</t>
  </si>
  <si>
    <t>FAM8 NAME</t>
  </si>
  <si>
    <t>FAM8 REL</t>
  </si>
  <si>
    <t>FAM8 DOB</t>
  </si>
  <si>
    <t>FAM8 WORK</t>
  </si>
  <si>
    <t>ACAD1 MON</t>
  </si>
  <si>
    <t>ACAD1 YR</t>
  </si>
  <si>
    <t>ACAD1 DEG</t>
  </si>
  <si>
    <t>ACAD1 SUB</t>
  </si>
  <si>
    <t>ACAD1 COLL</t>
  </si>
  <si>
    <t>ACAD1 UNIV</t>
  </si>
  <si>
    <t>ACAD1 PER</t>
  </si>
  <si>
    <t>ACAD2 MON</t>
  </si>
  <si>
    <t>ACAD2 YR</t>
  </si>
  <si>
    <t>ACAD2 DEG</t>
  </si>
  <si>
    <t>ACAD2 SUB</t>
  </si>
  <si>
    <t>ACAD2 COLL</t>
  </si>
  <si>
    <t>ACAD2 UNIV</t>
  </si>
  <si>
    <t>ACAD2 PER</t>
  </si>
  <si>
    <t>ACAD3 MON</t>
  </si>
  <si>
    <t>ACAD3 YR</t>
  </si>
  <si>
    <t>ACAD3 DEG</t>
  </si>
  <si>
    <t>ACAD3 SUB</t>
  </si>
  <si>
    <t>ACAD3 COLL</t>
  </si>
  <si>
    <t>ACAD3 UNIV</t>
  </si>
  <si>
    <t>ACAD3 PER</t>
  </si>
  <si>
    <t>ACAD4 MON</t>
  </si>
  <si>
    <t>ACAD4 YR</t>
  </si>
  <si>
    <t>ACAD4 DEG</t>
  </si>
  <si>
    <t>ACAD4 SUB</t>
  </si>
  <si>
    <t>ACAD4 COLL</t>
  </si>
  <si>
    <t>ACAD4 UNIV</t>
  </si>
  <si>
    <t>ACAD4 PER</t>
  </si>
  <si>
    <t>ACAD5 MON</t>
  </si>
  <si>
    <t>ACAD5 YR</t>
  </si>
  <si>
    <t>ACAD5 DEG</t>
  </si>
  <si>
    <t>ACAD5 SUB</t>
  </si>
  <si>
    <t>ACAD5 COLL</t>
  </si>
  <si>
    <t>ACAD5 UNIV</t>
  </si>
  <si>
    <t>ACAD5 PER</t>
  </si>
  <si>
    <t>SPEC TRNG</t>
  </si>
  <si>
    <t>INTEREST</t>
  </si>
  <si>
    <t>Page 3</t>
  </si>
  <si>
    <t>EXP1 FRM MON</t>
  </si>
  <si>
    <t>EXP1 FRM YR</t>
  </si>
  <si>
    <t>EXP1 TO MON</t>
  </si>
  <si>
    <t>EXP1 TO YR</t>
  </si>
  <si>
    <t>EXP1 ORG</t>
  </si>
  <si>
    <t>EXP1 POS</t>
  </si>
  <si>
    <t>EXP1 REASON</t>
  </si>
  <si>
    <t>EXP2 FRM MON</t>
  </si>
  <si>
    <t>EXP2 FRM YR</t>
  </si>
  <si>
    <t>EXP2 TO MON</t>
  </si>
  <si>
    <t>EXP2 TO YR</t>
  </si>
  <si>
    <t>EXP2 ORG</t>
  </si>
  <si>
    <t>EXP2 POS</t>
  </si>
  <si>
    <t>EXP2 REASON</t>
  </si>
  <si>
    <t>EXP3 FRM MON</t>
  </si>
  <si>
    <t>EXP3 FRM YR</t>
  </si>
  <si>
    <t>EXP3 TO MON</t>
  </si>
  <si>
    <t>EXP3 TO YR</t>
  </si>
  <si>
    <t>EXP3 ORG</t>
  </si>
  <si>
    <t>EXP3 POS</t>
  </si>
  <si>
    <t>EXP3 REASON</t>
  </si>
  <si>
    <t>EXP4 FRM MON</t>
  </si>
  <si>
    <t>EXP4 FRM YR</t>
  </si>
  <si>
    <t>EXP4 TO MON</t>
  </si>
  <si>
    <t>EXP4 TO YR</t>
  </si>
  <si>
    <t>EXP4 ORG</t>
  </si>
  <si>
    <t>EXP4 POS</t>
  </si>
  <si>
    <t>EXP4 REASON</t>
  </si>
  <si>
    <t>EXP5 FRM MON</t>
  </si>
  <si>
    <t>EXP5 FRM YR</t>
  </si>
  <si>
    <t>EXP5 TO MON</t>
  </si>
  <si>
    <t>EXP5 TO YR</t>
  </si>
  <si>
    <t>EXP5 ORG</t>
  </si>
  <si>
    <t>EXP5 POS</t>
  </si>
  <si>
    <t>EXP5 REASON</t>
  </si>
  <si>
    <t>EXP6 FRM MON</t>
  </si>
  <si>
    <t>EXP6 FRM YR</t>
  </si>
  <si>
    <t>EXP6 TO MON</t>
  </si>
  <si>
    <t>EXP6 TO YR</t>
  </si>
  <si>
    <t>EXP6 ORG</t>
  </si>
  <si>
    <t>EXP6 POS</t>
  </si>
  <si>
    <t>EXP6 REASON</t>
  </si>
  <si>
    <t>EMP1 TEL NO</t>
  </si>
  <si>
    <t>EMP1 FRM DT</t>
  </si>
  <si>
    <t>EMP1 FRM MON</t>
  </si>
  <si>
    <t>EMP1 FRM YR</t>
  </si>
  <si>
    <t>EMP1 TO DT</t>
  </si>
  <si>
    <t>EMP1 TO MON</t>
  </si>
  <si>
    <t>EMP1 TO YR</t>
  </si>
  <si>
    <t>EMP1 DESIG</t>
  </si>
  <si>
    <t>EMP1 GROS SAL</t>
  </si>
  <si>
    <t>EMP1 SUP NAME</t>
  </si>
  <si>
    <t>EMP1 SUP CONTACT NO</t>
  </si>
  <si>
    <t>EMP1 REASON</t>
  </si>
  <si>
    <t>EMP1 EMP CODE</t>
  </si>
  <si>
    <t>EMP2 TEL NO</t>
  </si>
  <si>
    <t>EMP2 FRM DT</t>
  </si>
  <si>
    <t>EMP2 FRM MON</t>
  </si>
  <si>
    <t>EMP2 FRM YR</t>
  </si>
  <si>
    <t>EMP2 TO DT</t>
  </si>
  <si>
    <t>EMP2 TO MON</t>
  </si>
  <si>
    <t>EMP2 TO YR</t>
  </si>
  <si>
    <t>EMP2 DESIG</t>
  </si>
  <si>
    <t>EMP2 GROS SAL</t>
  </si>
  <si>
    <t>EMP2 SUP NAME</t>
  </si>
  <si>
    <t>EMP2 SUP CONTACT NO</t>
  </si>
  <si>
    <t>EMP2 REASON</t>
  </si>
  <si>
    <t>EMP2 EMP CODE</t>
  </si>
  <si>
    <t>REF1 NAME</t>
  </si>
  <si>
    <t>REF1 DESIG</t>
  </si>
  <si>
    <t>REF1 ORG</t>
  </si>
  <si>
    <t>REF1 TEL NO.</t>
  </si>
  <si>
    <t>REF1 CELL NO.</t>
  </si>
  <si>
    <t>REF1 PERIOD</t>
  </si>
  <si>
    <t>REF1 RELATION</t>
  </si>
  <si>
    <t>REF2 NAME</t>
  </si>
  <si>
    <t>REF2 DESIG</t>
  </si>
  <si>
    <t>REF2 ORG</t>
  </si>
  <si>
    <t>REF2 TEL NO.</t>
  </si>
  <si>
    <t>REF2 CELL NO.</t>
  </si>
  <si>
    <t>REF2 PERIOD</t>
  </si>
  <si>
    <t>REF2 RELATION</t>
  </si>
  <si>
    <t>Page 4</t>
  </si>
  <si>
    <t>ANY REL</t>
  </si>
  <si>
    <t>REL1 NAME</t>
  </si>
  <si>
    <t>REL1 RELATION</t>
  </si>
  <si>
    <t>REL1 ORG</t>
  </si>
  <si>
    <t>REL1 EMP CODE</t>
  </si>
  <si>
    <t>REL1 POS</t>
  </si>
  <si>
    <t>REL2 NAME</t>
  </si>
  <si>
    <t>REL2 RELATION</t>
  </si>
  <si>
    <t>REL2 ORG</t>
  </si>
  <si>
    <t>REL2 EMP CODE</t>
  </si>
  <si>
    <t>REL2 POS</t>
  </si>
  <si>
    <t>REL3 NAME</t>
  </si>
  <si>
    <t>REL3 RELATION</t>
  </si>
  <si>
    <t>REL3 ORG</t>
  </si>
  <si>
    <t>REL3 EMP CODE</t>
  </si>
  <si>
    <t>REL3 POS</t>
  </si>
  <si>
    <t>REL4 NAME</t>
  </si>
  <si>
    <t>REL4 RELATION</t>
  </si>
  <si>
    <t>REL4 ORG</t>
  </si>
  <si>
    <t>REL4 EMP CODE</t>
  </si>
  <si>
    <t>REL4 POS</t>
  </si>
  <si>
    <t>GOV REL1 NAME</t>
  </si>
  <si>
    <t>GOV REL1 POS</t>
  </si>
  <si>
    <t>GOV REL1 ORG</t>
  </si>
  <si>
    <t>GOV REL2 NAME</t>
  </si>
  <si>
    <t>GOV REL2 POS</t>
  </si>
  <si>
    <t>GOV REL2 ORG</t>
  </si>
  <si>
    <t>GOV REL3 NAME</t>
  </si>
  <si>
    <t>GOV REL3 POS</t>
  </si>
  <si>
    <t>GOV REL3 ORG</t>
  </si>
  <si>
    <t>LANG1 NAME</t>
  </si>
  <si>
    <t>LANG1 SPK</t>
  </si>
  <si>
    <t>LANG1 READ</t>
  </si>
  <si>
    <t>LANG1 WRITE</t>
  </si>
  <si>
    <t>LANG2 NAME</t>
  </si>
  <si>
    <t>LANG2 SPK</t>
  </si>
  <si>
    <t>LANG2 READ</t>
  </si>
  <si>
    <t>LANG2 WRITE</t>
  </si>
  <si>
    <t>LANG3 NAME</t>
  </si>
  <si>
    <t>LANG3 SPK</t>
  </si>
  <si>
    <t>LANG3 READ</t>
  </si>
  <si>
    <t>LANG3 WRITE</t>
  </si>
  <si>
    <t>LANG4 NAME</t>
  </si>
  <si>
    <t>LANG4 SPK</t>
  </si>
  <si>
    <t>LANG4 READ</t>
  </si>
  <si>
    <t>LANG4 WRITE</t>
  </si>
  <si>
    <t>LANG5 NAME</t>
  </si>
  <si>
    <t>LANG5 SPK</t>
  </si>
  <si>
    <t>LANG5 READ</t>
  </si>
  <si>
    <t>LANG5 WRITE</t>
  </si>
  <si>
    <t>SOS CON1 NAME</t>
  </si>
  <si>
    <t>SOS CON1 ADD</t>
  </si>
  <si>
    <t>SOS CON1 TEL NO.</t>
  </si>
  <si>
    <t>SOS CON1 CELL NO.</t>
  </si>
  <si>
    <t>SOS CON2 NAME</t>
  </si>
  <si>
    <t>SOS CON2 ADD</t>
  </si>
  <si>
    <t>SOS CON2 TEL NO.</t>
  </si>
  <si>
    <t>SOS CON2 CELL NO.</t>
  </si>
  <si>
    <t>SOS CON3 NAME</t>
  </si>
  <si>
    <t>SOS CON3 ADD</t>
  </si>
  <si>
    <t>SOS CON3 TEL NO.</t>
  </si>
  <si>
    <t>SOS CON3 CELL NO.</t>
  </si>
  <si>
    <t>DOJ</t>
  </si>
  <si>
    <t>DEPARTMENT</t>
  </si>
  <si>
    <t>GRADE</t>
  </si>
  <si>
    <t>DESIGNATION</t>
  </si>
  <si>
    <t>LOCATION</t>
  </si>
  <si>
    <t>Provident Fund</t>
  </si>
  <si>
    <t>PF NOM1 NAME</t>
  </si>
  <si>
    <t>PF NOM1 ADD</t>
  </si>
  <si>
    <t>PF NOM1 REL</t>
  </si>
  <si>
    <t>PF NOM1 DOB</t>
  </si>
  <si>
    <t>PF NOM1 SHARE</t>
  </si>
  <si>
    <t>PF NOM1 MINOR</t>
  </si>
  <si>
    <t>PF NOM2 NAME</t>
  </si>
  <si>
    <t>PF NOM2 ADD</t>
  </si>
  <si>
    <t>PF NOM2 REL</t>
  </si>
  <si>
    <t>PF NOM2 DOB</t>
  </si>
  <si>
    <t>PF NOM2 SHARE</t>
  </si>
  <si>
    <t>PF NOM2 MINOR</t>
  </si>
  <si>
    <t>PF NOM3 NAME</t>
  </si>
  <si>
    <t>PF NOM3 ADD</t>
  </si>
  <si>
    <t>PF NOM3 REL</t>
  </si>
  <si>
    <t>PF NOM3 DOB</t>
  </si>
  <si>
    <t>PF NOM3 SHARE</t>
  </si>
  <si>
    <t>PF NOM3 MINOR</t>
  </si>
  <si>
    <t>PF NOM4 NAME</t>
  </si>
  <si>
    <t>PF NOM4 ADD</t>
  </si>
  <si>
    <t>PF NOM4 REL</t>
  </si>
  <si>
    <t>PF NOM4 DOB</t>
  </si>
  <si>
    <t>PF NOM4 SHARE</t>
  </si>
  <si>
    <t>PF NOM4 MINOR</t>
  </si>
  <si>
    <t>PEN NOM1 NAME</t>
  </si>
  <si>
    <t>PEN NOM1 ADD</t>
  </si>
  <si>
    <t>PEN NOM1 DOB</t>
  </si>
  <si>
    <t>PEN NOM1 REL</t>
  </si>
  <si>
    <t>PEN NOM2 NAME</t>
  </si>
  <si>
    <t>PEN NOM2 ADD</t>
  </si>
  <si>
    <t>PEN NOM2 DOB</t>
  </si>
  <si>
    <t>PEN NOM2 REL</t>
  </si>
  <si>
    <t>PEN NOM3 NAME</t>
  </si>
  <si>
    <t>PEN NOM3 ADD</t>
  </si>
  <si>
    <t>PEN NOM3 DOB</t>
  </si>
  <si>
    <t>PEN NOM3 REL</t>
  </si>
  <si>
    <t>PEN NOM4 NAME</t>
  </si>
  <si>
    <t>PEN NOM4 ADD</t>
  </si>
  <si>
    <t>PEN NOM4 DOB</t>
  </si>
  <si>
    <t>PEN NOM4 REL</t>
  </si>
  <si>
    <t>MON PEN NOM1 NAME</t>
  </si>
  <si>
    <t>MON PEN NOM1 DOB</t>
  </si>
  <si>
    <t>MON PEN NOM1 REL</t>
  </si>
  <si>
    <t>MON PEN NOM2 NAME</t>
  </si>
  <si>
    <t>MON PEN NOM2 DOB</t>
  </si>
  <si>
    <t>MON PEN NOM2 REL</t>
  </si>
  <si>
    <t>MON PEN NOM3 NAME</t>
  </si>
  <si>
    <t>MON PEN NOM3 DOB</t>
  </si>
  <si>
    <t>MON PEN NOM3 REL</t>
  </si>
  <si>
    <t>PF PLACE</t>
  </si>
  <si>
    <t>Gratuity</t>
  </si>
  <si>
    <t>EX HUSBAND DT</t>
  </si>
  <si>
    <t>GRAT NOM1 NAME</t>
  </si>
  <si>
    <t>GRAT NOM1 REL</t>
  </si>
  <si>
    <t>GRAT NOM1 AGE</t>
  </si>
  <si>
    <t>GRAT NOM1 SHARE</t>
  </si>
  <si>
    <t>GRAT NOM2 NAME</t>
  </si>
  <si>
    <t>GRAT NOM2 REL</t>
  </si>
  <si>
    <t>GRAT NOM2 AGE</t>
  </si>
  <si>
    <t>GRAT NOM2 SHARE</t>
  </si>
  <si>
    <t>GRAT NOM3 NAME</t>
  </si>
  <si>
    <t>GRAT NOM3 REL</t>
  </si>
  <si>
    <t>GRAT NOM3 AGE</t>
  </si>
  <si>
    <t>GRAT NOM3 SHARE</t>
  </si>
  <si>
    <t>GRAT NOM4 NAME</t>
  </si>
  <si>
    <t>GRAT NOM4 REL</t>
  </si>
  <si>
    <t>GRAT NOM4 AGE</t>
  </si>
  <si>
    <t>GRAT NOM4 SHARE</t>
  </si>
  <si>
    <t>GRAT NOM5 NAME</t>
  </si>
  <si>
    <t>GRAT NOM5 REL</t>
  </si>
  <si>
    <t>GRAT NOM5 AGE</t>
  </si>
  <si>
    <t>GRAT NOM5 SHARE</t>
  </si>
  <si>
    <t>GRAT VILL</t>
  </si>
  <si>
    <t>GRAT THANA</t>
  </si>
  <si>
    <t>GRAT SUBDIV</t>
  </si>
  <si>
    <t>GRAT PO</t>
  </si>
  <si>
    <t>GRAT DIST</t>
  </si>
  <si>
    <t>WIT1 NAME &amp; ADD</t>
  </si>
  <si>
    <t>WIT2 NAME &amp; ADD</t>
  </si>
  <si>
    <t>Mediclaim</t>
  </si>
  <si>
    <t>MED NOM1 NAME</t>
  </si>
  <si>
    <t>MED NOM1 DOB</t>
  </si>
  <si>
    <t>MED NOM1 REL</t>
  </si>
  <si>
    <t>MED NOM2 NAME</t>
  </si>
  <si>
    <t>MED NOM2 DOB</t>
  </si>
  <si>
    <t>MED NOM2 REL</t>
  </si>
  <si>
    <t>MED NOM3 NAME</t>
  </si>
  <si>
    <t>MED NOM3 DOB</t>
  </si>
  <si>
    <t>MED NOM3 REL</t>
  </si>
  <si>
    <t>MED NOM4 NAME</t>
  </si>
  <si>
    <t>MED NOM4 DOB</t>
  </si>
  <si>
    <t>MED NOM4 REL</t>
  </si>
  <si>
    <t>MED NOM5 NAME</t>
  </si>
  <si>
    <t>MED NOM5 DOB</t>
  </si>
  <si>
    <t>MED NOM5 REL</t>
  </si>
  <si>
    <t>Insurance</t>
  </si>
  <si>
    <t>INS BEN1 NAME</t>
  </si>
  <si>
    <t>INS BEN1 PROOF</t>
  </si>
  <si>
    <t>INS BEN1 REL</t>
  </si>
  <si>
    <t>INS BEN1 SHARE</t>
  </si>
  <si>
    <t>INS BEN1 BANK DETAILS</t>
  </si>
  <si>
    <t>INS BEN2 NAME</t>
  </si>
  <si>
    <t>INS BEN2 PROOF</t>
  </si>
  <si>
    <t>INS BEN2 REL</t>
  </si>
  <si>
    <t>INS BEN2 SHARE</t>
  </si>
  <si>
    <t>INS BEN2 BANK DETAILS</t>
  </si>
  <si>
    <t>INS BEN3 NAME</t>
  </si>
  <si>
    <t>INS BEN3 PROOF</t>
  </si>
  <si>
    <t>INS BEN3 REL</t>
  </si>
  <si>
    <t>INS BEN3 SHARE</t>
  </si>
  <si>
    <t>INS BEN3 BANK DETAILS</t>
  </si>
  <si>
    <t>INS BEN4 NAME</t>
  </si>
  <si>
    <t>INS BEN4 PROOF</t>
  </si>
  <si>
    <t>INS BEN4 REL</t>
  </si>
  <si>
    <t>INS BEN4 SHARE</t>
  </si>
  <si>
    <t>INS BEN4 BANK DETAILS</t>
  </si>
  <si>
    <t>Account Opening Form</t>
  </si>
  <si>
    <t>BRANCH CODE</t>
  </si>
  <si>
    <t>ACCOUNT TYPE</t>
  </si>
  <si>
    <t>CRN NO.</t>
  </si>
  <si>
    <t>ACCOUNT NUMBER</t>
  </si>
  <si>
    <t>IT Security Form</t>
  </si>
  <si>
    <t>WITNESS NAME</t>
  </si>
  <si>
    <t>Income Tax</t>
  </si>
  <si>
    <t>COMPANY</t>
  </si>
  <si>
    <t>RENT AMOUNT</t>
  </si>
  <si>
    <t>RENT MONTHS</t>
  </si>
  <si>
    <t>RENT DECLARED</t>
  </si>
  <si>
    <t>SEC 80D-MED INS</t>
  </si>
  <si>
    <t>SEC 80E-HIGH EDU</t>
  </si>
  <si>
    <t>SEC 80U-HANDICAP</t>
  </si>
  <si>
    <t>ANY OTHER</t>
  </si>
  <si>
    <t>SEC 80CCC-PEN</t>
  </si>
  <si>
    <t>LIFE INS PREM</t>
  </si>
  <si>
    <t>DEF ANN</t>
  </si>
  <si>
    <t>PPF</t>
  </si>
  <si>
    <t>ULIP</t>
  </si>
  <si>
    <t>HOME LOAN PRIN</t>
  </si>
  <si>
    <t>CONTRI TO PEN</t>
  </si>
  <si>
    <t>ELSS OR MF</t>
  </si>
  <si>
    <t>INFRA BONDS</t>
  </si>
  <si>
    <t>TUITION FEES</t>
  </si>
  <si>
    <t>HOME LOAN DEPOSIT</t>
  </si>
  <si>
    <t>NSC</t>
  </si>
  <si>
    <t>INT ON NSC</t>
  </si>
  <si>
    <t>5YR FD</t>
  </si>
  <si>
    <t>PRE EMP SAL</t>
  </si>
  <si>
    <t>PRE EMP PTAX</t>
  </si>
  <si>
    <t>PRE EMP PF</t>
  </si>
  <si>
    <t>PRE EMP IT</t>
  </si>
  <si>
    <t>NON EMP</t>
  </si>
  <si>
    <t>HOME LOAN INT</t>
  </si>
  <si>
    <t>HOME LOAN INT PRIOR</t>
  </si>
  <si>
    <t>DEP1 REL</t>
  </si>
  <si>
    <t>DEP1 NAME</t>
  </si>
  <si>
    <t>DEP1 AGE</t>
  </si>
  <si>
    <t>DEP2 REL</t>
  </si>
  <si>
    <t>DEP2 NAME</t>
  </si>
  <si>
    <t>DEP2 AGE</t>
  </si>
  <si>
    <t>DEP3 REL</t>
  </si>
  <si>
    <t>DEP3 NAME</t>
  </si>
  <si>
    <t>DEP3 AGE</t>
  </si>
  <si>
    <t>DEP4 REL</t>
  </si>
  <si>
    <t>DEP4 NAME</t>
  </si>
  <si>
    <t>DEP4 AGE</t>
  </si>
  <si>
    <t>DEP5 REL</t>
  </si>
  <si>
    <t>DEP5 NAME</t>
  </si>
  <si>
    <t>DEP5 AGE</t>
  </si>
  <si>
    <t>DEP6 REL</t>
  </si>
  <si>
    <t>DEP6 NAME</t>
  </si>
  <si>
    <t>DEP6 AGE</t>
  </si>
  <si>
    <t>NSC INT YRS Y1</t>
  </si>
  <si>
    <t>NSC INT CERT AMT Y1</t>
  </si>
  <si>
    <t>NSC INT ACCRUED Y1</t>
  </si>
  <si>
    <t>NSC INT YRS Y2</t>
  </si>
  <si>
    <t>NSC INT CERT AMT Y2</t>
  </si>
  <si>
    <t>NSC INT ACCRUED Y2</t>
  </si>
  <si>
    <t>NSC INT YRS Y3</t>
  </si>
  <si>
    <t>NSC INT CERT AMT Y3</t>
  </si>
  <si>
    <t>NSC INT ACCRUED Y3</t>
  </si>
  <si>
    <t>NSC INT YRS Y4</t>
  </si>
  <si>
    <t>NSC INT CERT AMT Y4</t>
  </si>
  <si>
    <t>NSC INT ACCRUED Y4</t>
  </si>
  <si>
    <t>NSC INT YRS Y5</t>
  </si>
  <si>
    <t>NSC INT CERT AMT Y5</t>
  </si>
  <si>
    <t>NSC INT ACCRUED Y5</t>
  </si>
  <si>
    <t>NSC INT YRS Y6</t>
  </si>
  <si>
    <t>NSC INT CERT AMT Y6</t>
  </si>
  <si>
    <t>NSC INT ACCRUED Y6</t>
  </si>
  <si>
    <t>NEPHEW</t>
  </si>
  <si>
    <t>NEICE</t>
  </si>
  <si>
    <t>EMP1 ADD</t>
  </si>
  <si>
    <t>EMP2 ADD</t>
  </si>
  <si>
    <t>CURRENT DATE</t>
  </si>
  <si>
    <t>PLACE</t>
  </si>
  <si>
    <t>GRAT NOM1 ADD</t>
  </si>
  <si>
    <t>GRAT NOM2 ADD</t>
  </si>
  <si>
    <t>GRAT NOM3 ADD</t>
  </si>
  <si>
    <t>GRAT NOM4 ADD</t>
  </si>
  <si>
    <t>GRAT NOM5 ADD</t>
  </si>
  <si>
    <t>BRANCH NAME</t>
  </si>
  <si>
    <t>ADDRESS</t>
  </si>
  <si>
    <t>HR Contact Name</t>
  </si>
  <si>
    <t>HR Contact Email</t>
  </si>
  <si>
    <t>UAN</t>
  </si>
  <si>
    <t>Aadhar No.</t>
  </si>
  <si>
    <t>FIRST NAME</t>
  </si>
  <si>
    <t>MIDDLE NAME</t>
  </si>
  <si>
    <t>Declaration Form</t>
  </si>
  <si>
    <t>(To be retained by employer for future reference)</t>
  </si>
  <si>
    <t>THE EMPLOYEES PROVIDENT FUND SCHEME, 1952(Paragraph-34 &amp; 57) &amp;</t>
  </si>
  <si>
    <t>THE EMPLOYEES PENSION SCHEME, 1995(Paragraph-24)</t>
  </si>
  <si>
    <t>(Please go through the Instrucions)</t>
  </si>
  <si>
    <t>Title</t>
  </si>
  <si>
    <t>Mr</t>
  </si>
  <si>
    <t>D</t>
  </si>
  <si>
    <t>M</t>
  </si>
  <si>
    <t>Y</t>
  </si>
  <si>
    <t>Father's / Husband's</t>
  </si>
  <si>
    <t>Relationship in respect</t>
  </si>
  <si>
    <t>Father</t>
  </si>
  <si>
    <t>Husband</t>
  </si>
  <si>
    <t>of above (Please Tick)</t>
  </si>
  <si>
    <t>Male</t>
  </si>
  <si>
    <t>Female</t>
  </si>
  <si>
    <t>(Please Tick)</t>
  </si>
  <si>
    <t>(If Any)</t>
  </si>
  <si>
    <t>Email ID (If Any)</t>
  </si>
  <si>
    <t>Whether earlier a member of the Employees' Provident Scheme, 1952?</t>
  </si>
  <si>
    <t>Yes</t>
  </si>
  <si>
    <t>No</t>
  </si>
  <si>
    <t>Whether earlier a member of the Employees' Pension Scheme, 1955?</t>
  </si>
  <si>
    <t>If response to any or both of (8) &amp; (9) above is YES, then MANDATORY fill up the Previous Employement Details at (10, 11 &amp; 12)</t>
  </si>
  <si>
    <t>A</t>
  </si>
  <si>
    <t>Previous Employmen Details</t>
  </si>
  <si>
    <t>The details of the Universal Account No (UAN) or Previous PF Member ID</t>
  </si>
  <si>
    <t>Or</t>
  </si>
  <si>
    <t>Previous</t>
  </si>
  <si>
    <t>Region Code</t>
  </si>
  <si>
    <t>Office Code</t>
  </si>
  <si>
    <t>Establishment ID</t>
  </si>
  <si>
    <t>Extension</t>
  </si>
  <si>
    <t>PF Member ID</t>
  </si>
  <si>
    <t>Date of Exit for</t>
  </si>
  <si>
    <t>Previous Member ID</t>
  </si>
  <si>
    <t>If Scheme Certificate issued for Previous Employment,</t>
  </si>
  <si>
    <t>Then Scheme Cretificate No</t>
  </si>
  <si>
    <t>B</t>
  </si>
  <si>
    <t>If Pension Payment Order (PPO) issued for previous employment,</t>
  </si>
  <si>
    <t>then PPO No.</t>
  </si>
  <si>
    <t>Other Details</t>
  </si>
  <si>
    <t>International Worker</t>
  </si>
  <si>
    <t>If the reply to (13) above is Yes, then enter details in 13(A), 13(B) &amp; 13(C)</t>
  </si>
  <si>
    <r>
      <t xml:space="preserve">Country of Origin </t>
    </r>
    <r>
      <rPr>
        <b/>
        <sz val="11"/>
        <color indexed="8"/>
        <rFont val="Calibri"/>
        <family val="2"/>
      </rPr>
      <t>(Please Tick)</t>
    </r>
  </si>
  <si>
    <t>India</t>
  </si>
  <si>
    <r>
      <t xml:space="preserve">Other Than India </t>
    </r>
    <r>
      <rPr>
        <b/>
        <sz val="11"/>
        <color indexed="8"/>
        <rFont val="Calibri"/>
        <family val="2"/>
      </rPr>
      <t>( If YES, Please mention</t>
    </r>
  </si>
  <si>
    <t>Name of the Country)</t>
  </si>
  <si>
    <t>Passport Number</t>
  </si>
  <si>
    <t>C</t>
  </si>
  <si>
    <t>Educational</t>
  </si>
  <si>
    <t>Illiterate</t>
  </si>
  <si>
    <t>Non Matric</t>
  </si>
  <si>
    <t>Matric</t>
  </si>
  <si>
    <t>Senior Secondary</t>
  </si>
  <si>
    <t>Graduate</t>
  </si>
  <si>
    <t>Post Graduate</t>
  </si>
  <si>
    <t>Qualification</t>
  </si>
  <si>
    <t>Doctor</t>
  </si>
  <si>
    <t>Technical/Proffessional</t>
  </si>
  <si>
    <t>Married</t>
  </si>
  <si>
    <t>Unmarried</t>
  </si>
  <si>
    <t>Widow/Widower</t>
  </si>
  <si>
    <t>Divocee</t>
  </si>
  <si>
    <t>Specially Abled</t>
  </si>
  <si>
    <t>If Yes, Tick the Category</t>
  </si>
  <si>
    <t>Locomotive</t>
  </si>
  <si>
    <t>Visual</t>
  </si>
  <si>
    <t>Hearing</t>
  </si>
  <si>
    <t>KYC Details</t>
  </si>
  <si>
    <t>KYC Document Type</t>
  </si>
  <si>
    <t>Name as on KYC Document</t>
  </si>
  <si>
    <t>Numbers</t>
  </si>
  <si>
    <t>IFSC Code</t>
  </si>
  <si>
    <t>Bank A/c -1*</t>
  </si>
  <si>
    <t>NPR/Aadhar</t>
  </si>
  <si>
    <t>Permanent Account Number (PAN)</t>
  </si>
  <si>
    <t>Passport</t>
  </si>
  <si>
    <t>Driving License</t>
  </si>
  <si>
    <t>Election Card</t>
  </si>
  <si>
    <t>Ration Card</t>
  </si>
  <si>
    <t>ESIC Card</t>
  </si>
  <si>
    <t>Available with You in addition to MANDATORY KYCs to avail better Services.</t>
  </si>
  <si>
    <t>Undertaking</t>
  </si>
  <si>
    <t>In case, earlier a member of EPF Scheme, 1952 and/or EPS, 1955,</t>
  </si>
  <si>
    <t>(I)</t>
  </si>
  <si>
    <t>I have ensured the correctness of my UAN/Previous PF Member ID</t>
  </si>
  <si>
    <t>(II)</t>
  </si>
  <si>
    <t>using only if the from the previous his Digital Signature Certificate)</t>
  </si>
  <si>
    <t>(III)</t>
  </si>
  <si>
    <t>Signature of Member</t>
  </si>
  <si>
    <t>Declaration by Present Employer</t>
  </si>
  <si>
    <t>The member Mr./Ms./Mrs.</t>
  </si>
  <si>
    <t>has joined on</t>
  </si>
  <si>
    <t>and has been alloted PF Member ID</t>
  </si>
  <si>
    <t>In case the person was earlier not a member of EPF Scheme, 1952 and</t>
  </si>
  <si>
    <t>EPS, 1995:</t>
  </si>
  <si>
    <r>
      <rPr>
        <b/>
        <sz val="11"/>
        <color indexed="8"/>
        <rFont val="Calibri"/>
        <family val="2"/>
      </rPr>
      <t>(POST ALLOTMENT OF UAN)</t>
    </r>
    <r>
      <rPr>
        <sz val="11"/>
        <color theme="1"/>
        <rFont val="Calibri"/>
        <family val="2"/>
        <scheme val="minor"/>
      </rPr>
      <t xml:space="preserve"> The UAN alloted for the Member is</t>
    </r>
  </si>
  <si>
    <t>Pls tick the Appropriate Option:</t>
  </si>
  <si>
    <t>The KYC details of above member in UAN Database</t>
  </si>
  <si>
    <t>Has not been uploaded</t>
  </si>
  <si>
    <t>Have been uploaded but not approved</t>
  </si>
  <si>
    <t>Have been uploaded &amp; approved with DSC</t>
  </si>
  <si>
    <t>In case the person was earlier a Member of EPF Scheme, 1952 &amp; EPS, 1955:</t>
  </si>
  <si>
    <t>The above member ID of the member as menioned in (A) above has</t>
  </si>
  <si>
    <t>been tagged with his/her UAN/Previous Member ID as declared</t>
  </si>
  <si>
    <t>by Member.</t>
  </si>
  <si>
    <t>The KYC Details of the Above member in the UAN database have been approved</t>
  </si>
  <si>
    <t>with Digital Signature  Certificate &amp; Transfer request has been generated on Portal.</t>
  </si>
  <si>
    <t>As the DSC of Establishment are not Registered with EPFO, the member has</t>
  </si>
  <si>
    <t>been informed to file physical calim (FORM-13) for transfer of funds from his</t>
  </si>
  <si>
    <t>previous establishment.</t>
  </si>
  <si>
    <t>Signature Of Employer with</t>
  </si>
  <si>
    <t>Seal of Establishment</t>
  </si>
  <si>
    <t>I certify that all the information given above is TRUE to the best</t>
  </si>
  <si>
    <t>of my knowledge &amp; belief.</t>
  </si>
  <si>
    <t>This may also be treated as my request for transfer of funds &amp; service</t>
  </si>
  <si>
    <t>details if applicable account as declared above to the present PF</t>
  </si>
  <si>
    <t>Account (The transfer would be possible Identified KYC details</t>
  </si>
  <si>
    <t>approved by previous employer has been verified by present Employer</t>
  </si>
  <si>
    <t>I am aware that I can submit my Nomination Form through UAN</t>
  </si>
  <si>
    <t>Based Member Portal.</t>
  </si>
  <si>
    <r>
      <rPr>
        <b/>
        <sz val="10"/>
        <color indexed="8"/>
        <rFont val="Calibri"/>
        <family val="2"/>
      </rPr>
      <t xml:space="preserve"> Self-Attested Photocopies of the Documents</t>
    </r>
    <r>
      <rPr>
        <sz val="10"/>
        <color indexed="8"/>
        <rFont val="Calibri"/>
        <family val="2"/>
      </rPr>
      <t xml:space="preserve"> must be attached with this form.</t>
    </r>
  </si>
  <si>
    <t>*Mandatory Field (Note: Bank Account Number  (Along with IFSC Code)</t>
  </si>
  <si>
    <r>
      <rPr>
        <b/>
        <sz val="10"/>
        <color indexed="8"/>
        <rFont val="Calibri"/>
        <family val="2"/>
      </rPr>
      <t xml:space="preserve"> is  MANDATORY.</t>
    </r>
    <r>
      <rPr>
        <sz val="10"/>
        <color indexed="8"/>
        <rFont val="Calibri"/>
        <family val="2"/>
      </rPr>
      <t xml:space="preserve"> You are however advised to povide all KYC Documents</t>
    </r>
  </si>
  <si>
    <t xml:space="preserve"> Provident Fund Scheme, 1952 And/Or Employees' Pension Scheme, 1995 is Applicable.</t>
  </si>
  <si>
    <t>Declaration by a person taking up employment in the establishment on which Employees</t>
  </si>
  <si>
    <t>Passport Valid From</t>
  </si>
  <si>
    <t>Employees' Provident Fund Organization</t>
  </si>
  <si>
    <t>YES</t>
  </si>
  <si>
    <t>NO</t>
  </si>
  <si>
    <t>Mobile No.</t>
  </si>
  <si>
    <t>Date Of Birth
 DD      MM   YYYY</t>
  </si>
  <si>
    <r>
      <rPr>
        <b/>
        <sz val="10"/>
        <color indexed="8"/>
        <rFont val="Calibri"/>
        <family val="2"/>
      </rPr>
      <t>Father's Name</t>
    </r>
    <r>
      <rPr>
        <b/>
        <sz val="11"/>
        <color indexed="8"/>
        <rFont val="Calibri"/>
        <family val="2"/>
      </rPr>
      <t xml:space="preserve">
</t>
    </r>
    <r>
      <rPr>
        <sz val="8"/>
        <color indexed="8"/>
        <rFont val="Calibri"/>
        <family val="2"/>
      </rPr>
      <t>(MANDATORY)</t>
    </r>
  </si>
  <si>
    <t>PAN No.</t>
  </si>
  <si>
    <t>Corporate Policy Manual on Conflict of Interest, Conduct, Confidential,</t>
  </si>
  <si>
    <t>and Proprietary Information and Staff Accountability</t>
  </si>
  <si>
    <t xml:space="preserve">I have received the Kotak Mahindra Bank policies &amp; procedures regarding conflict of interest, Conduct, </t>
  </si>
  <si>
    <t xml:space="preserve">EMPLOYEE NAME  : </t>
  </si>
  <si>
    <r>
      <t>Reference Details for Professional Reference Checks</t>
    </r>
    <r>
      <rPr>
        <b/>
        <i/>
        <sz val="11"/>
        <color indexed="8"/>
        <rFont val="Calibri"/>
        <family val="2"/>
      </rPr>
      <t xml:space="preserve"> (Not applicable for Freshers)</t>
    </r>
  </si>
  <si>
    <t>% Share of
Benefit (Total should add upto 100%)</t>
  </si>
  <si>
    <t>Dependent for Mediclaim (Yes / No)</t>
  </si>
  <si>
    <t>Self Declaration for Medical Fitness</t>
  </si>
  <si>
    <t>HAVE YOU EVER SUFFERED FROM THE FOLLOWING - YES / NO</t>
  </si>
  <si>
    <t>IF YES, DETAILS OF TREATMENT</t>
  </si>
  <si>
    <t>1)</t>
  </si>
  <si>
    <t>BLOOD PRESSURE</t>
  </si>
  <si>
    <t>2)</t>
  </si>
  <si>
    <t>DIABETES</t>
  </si>
  <si>
    <t>3)</t>
  </si>
  <si>
    <t>CHOLESTROL</t>
  </si>
  <si>
    <t>4)</t>
  </si>
  <si>
    <t>ANY HEART DISEASE</t>
  </si>
  <si>
    <t>5)</t>
  </si>
  <si>
    <t>HEPATITIS (LIVER)</t>
  </si>
  <si>
    <t>6)</t>
  </si>
  <si>
    <t>RENAL (KIDNEYS)</t>
  </si>
  <si>
    <t>7)</t>
  </si>
  <si>
    <t>TUBERCULOSIS</t>
  </si>
  <si>
    <t>8)</t>
  </si>
  <si>
    <t>ANY COMMUNICABLE DISEASE</t>
  </si>
  <si>
    <t>I, hereby declare that the above information is true and, to the best of my knowledge. I have no illness that will impede my capacity to perform my duties. I also have no objection to this information being shared by the Company with it's insurer. I also agree that should the Company so decide, I will subject myself to a medical examination by a doctor of the Company's choice, whose findings, regarding employment at the Company, will be binding on me now or anytime later when in employment of the Company.</t>
  </si>
  <si>
    <t>JUL</t>
  </si>
  <si>
    <t>NOV</t>
  </si>
  <si>
    <t>DEC</t>
  </si>
  <si>
    <t xml:space="preserve"> </t>
  </si>
  <si>
    <t xml:space="preserve">color. </t>
  </si>
  <si>
    <t>Incorrect details must be rectified before printing and signing the form.</t>
  </si>
  <si>
    <r>
      <t xml:space="preserve">UAN  </t>
    </r>
    <r>
      <rPr>
        <sz val="10"/>
        <color indexed="8"/>
        <rFont val="Calibri"/>
        <family val="2"/>
      </rPr>
      <t>(NA if fresher)</t>
    </r>
  </si>
  <si>
    <t xml:space="preserve">Domicile </t>
  </si>
  <si>
    <t>Residential Address</t>
  </si>
  <si>
    <t>STATUS</t>
  </si>
  <si>
    <t>Yes / No</t>
  </si>
  <si>
    <t>ü</t>
  </si>
  <si>
    <t>Academic Details (Begin with HIGHEST qualification)</t>
  </si>
  <si>
    <t>Technical/ Proffessional</t>
  </si>
  <si>
    <t>(Select from drop down)</t>
  </si>
  <si>
    <t xml:space="preserve">  (Select from drop down)</t>
  </si>
  <si>
    <t>agrees to abide by the guidelines described therein as a condition of continued employment / contract.</t>
  </si>
  <si>
    <t>Paste your 
passport size photograph
with white background</t>
  </si>
  <si>
    <t>MOTHER-IN-LAW</t>
  </si>
  <si>
    <t>SISTER-IN-LAW</t>
  </si>
  <si>
    <t xml:space="preserve">Family Details </t>
  </si>
  <si>
    <t>Nomination Details</t>
  </si>
  <si>
    <t>Share to be given out of 100%</t>
  </si>
  <si>
    <t>If the nominee is a minor, name &amp; relationship &amp; address of the guardian</t>
  </si>
  <si>
    <t>GRATUITY</t>
  </si>
  <si>
    <t>=AND(SUM($U$146:$U$149)&lt;&gt;0,SUM($U$146:$U$149)&lt;100)</t>
  </si>
  <si>
    <t>=AND(SUM($U$162:$U$165)&lt;&gt;0,SUM($U$162:$U$165)&lt;100)</t>
  </si>
  <si>
    <t>=AND(SUM($U$170:$U$173)&lt;&gt;0,SUM($U$170:$U$173)&lt;100)</t>
  </si>
  <si>
    <t>Previous PF Member ID</t>
  </si>
  <si>
    <t>Scheme Certificate no issued for Previous Employment</t>
  </si>
  <si>
    <t xml:space="preserve">Date of exit </t>
  </si>
  <si>
    <t>-</t>
  </si>
  <si>
    <t>CRN</t>
  </si>
  <si>
    <t xml:space="preserve"> hereby declare that the information mentioned above is </t>
  </si>
  <si>
    <t>true to the best of my knowledge .I shall be solely responsible for any discrepancy / misleading statements and also it is upon me to communicate any additions / changes to the above information to the HR in writing .</t>
  </si>
  <si>
    <t>Declaration</t>
  </si>
  <si>
    <t>PROVIDENT FUND</t>
  </si>
  <si>
    <t>PENSION SCHEME UNDER PROVIDENT FUND</t>
  </si>
  <si>
    <t>TERM INSURANCE POLICY</t>
  </si>
  <si>
    <t>PF DETAILS FOR PREVIOUS EMPLOYMENT</t>
  </si>
  <si>
    <t>SELF DECLARATION FOR MEDICAL FITNESS</t>
  </si>
  <si>
    <t>CHHATTISGARH</t>
  </si>
  <si>
    <t>GOA</t>
  </si>
  <si>
    <t>GUJARAT</t>
  </si>
  <si>
    <t>HARYANA</t>
  </si>
  <si>
    <t>NEW DELHI</t>
  </si>
  <si>
    <t>PUDUCHERRY</t>
  </si>
  <si>
    <t>TELANGANA</t>
  </si>
  <si>
    <t>TRIPURA</t>
  </si>
  <si>
    <t>UTTAR PRADESH</t>
  </si>
  <si>
    <t>I hereby nominate the person(s) / cancel the nomination made by me previously &amp; nominate the person(s) mentioned below to receive the amount standing to my credit in Employees' PF, in the event of my death</t>
  </si>
  <si>
    <t>I hereby furnish below particulars of the members of my family who would be eligible to receive widow/ children pension in the event of my death</t>
  </si>
  <si>
    <t>DOB of family members</t>
  </si>
  <si>
    <t>Qualification and passing details %, Grade, passing year</t>
  </si>
  <si>
    <t>previous employer's HR's name and contact</t>
  </si>
  <si>
    <t xml:space="preserve">Experience details - Duration, name of the co, supervisor name and contact, </t>
  </si>
  <si>
    <t xml:space="preserve">Please keep below documents and details ready with you: </t>
  </si>
  <si>
    <t>&gt;</t>
  </si>
  <si>
    <t>Fill the nominee details and the mentioned the share to be given to each nominee in numiric format</t>
  </si>
  <si>
    <t>e.g. 100,  50 and not as 100%, 50%. Ensure the total of share to be given should be 100</t>
  </si>
  <si>
    <t>Scan copy of Photo, PAN, Aadhaar, Qualification marksheet and certificate</t>
  </si>
  <si>
    <t>Resignation acceptance email/dully stamped and signed resignation letter</t>
  </si>
  <si>
    <t>UAN, PF No, Contact details of supervisor and HR of previous employer</t>
  </si>
  <si>
    <t xml:space="preserve">PAN No, Aadhaar No, </t>
  </si>
  <si>
    <t>hereby declare that all the details furnished by me in this</t>
  </si>
  <si>
    <t>Sub.: Requirement of EUIN / IRDA / NSDL Certification</t>
  </si>
  <si>
    <t>Applicable if your role requires to hold valid certification (EUIN/IRDA/NSDL)</t>
  </si>
  <si>
    <t xml:space="preserve">9. </t>
  </si>
  <si>
    <t>Please read the certification related declaration on Page no 19 / sheet namely "Certification"</t>
  </si>
  <si>
    <t xml:space="preserve">This is applicable if your role requires to hold valid certification (EUIN/IRDA/NSDL). </t>
  </si>
  <si>
    <t>For any clarification please connect with your TA RM.</t>
  </si>
  <si>
    <t>Last updated by: Rajendra Khodake | May 2021</t>
  </si>
  <si>
    <t>INDIAN</t>
  </si>
  <si>
    <t>ARUNACHAL PRADESH</t>
  </si>
  <si>
    <t>MANIPUR</t>
  </si>
  <si>
    <t>MIZORAM</t>
  </si>
  <si>
    <t>NAGALAND</t>
  </si>
  <si>
    <t>ODISHA</t>
  </si>
  <si>
    <t>LADAKH</t>
  </si>
  <si>
    <t>LAKSHDWEEP</t>
  </si>
  <si>
    <t>City</t>
  </si>
  <si>
    <t>joining kit (incl. nominee details) and in all documents submitted by me during the process of hiring, are true and correct to the best of my knowledge and belief. I am fully aware and understand that the Company is entitled to cancel my candidature and / or withdraw any employment offer made to me at any stage during the selection and offer process and / or terminate my employment in event any information furnished by me is found to be false/misleading or incorrect in any manner whatsoever, at the sole discretion of the Company.
In case of changes in any of the details mentioned in the joining kit post submission, I undertake to inform HR in writing.</t>
  </si>
  <si>
    <t>Insert your 
passport size photograph. Click on "Insert" Menu &gt; click on "Pictures" and Select the photo. Adjust the size of the picture to fit in this box</t>
  </si>
  <si>
    <t>Name &amp; Signature :</t>
  </si>
  <si>
    <t>Father's Name</t>
  </si>
  <si>
    <t>To be fill</t>
  </si>
  <si>
    <t>Transgender</t>
  </si>
  <si>
    <t>AB NEGATIVE  (AB-)</t>
  </si>
  <si>
    <t>AB POSITIVE    (AB+)</t>
  </si>
  <si>
    <t>B NEGATIVE     (B-)</t>
  </si>
  <si>
    <t>B POSITIVE       (B+)</t>
  </si>
  <si>
    <t>A NEGATIVE     (A-)</t>
  </si>
  <si>
    <t>A POSITIVE       (A+)</t>
  </si>
  <si>
    <t>O POSITIVE      (O+)</t>
  </si>
  <si>
    <t>From
MM    YYYY</t>
  </si>
  <si>
    <t>To
MM      YYYY</t>
  </si>
  <si>
    <t>Last updated by Rajendra 7/May/21</t>
  </si>
  <si>
    <t xml:space="preserve">I hereby authorize Kotak Mahindra Group of companies (or a third party agent by the Company) to contact any former employers as indicated above and carry out all Background checks not restricted to education and employment deemed appropriate through this selection procedure. I authorize former employers, agencies, educational institution etc. to release any information pertaining to my employment / education and I release them from any liablity in doing so. </t>
  </si>
  <si>
    <t>I confirm that the above information is correct to the best of knowledge and I understand that any misrepresentation of information on this application form may, in the event of my obtaining employment, result in action based on the company policy.</t>
  </si>
  <si>
    <t>- As per current mediclaim policy, employee, partner and 2 children (upto age of 25 years) are covered under mediclaim effective from date of joining for employees at M3 and above grade and from 6 months of date of joining for employees at M1/M2 grade. 
- For parents and/or parents-in-law, employee will have to enroll them under voluntary parent policy as per applicable premium amount to be borne by employee. 
- You will have to enroll beneficiaries on the portal of insurance company upon the receipt of intimation through email.
- Mediclaim Policy is not applicable for associates under Fixed Term Contract (Grade E0 and D0)</t>
  </si>
  <si>
    <t>Details of personal Bank Account Number Other than Kotak Bank</t>
  </si>
  <si>
    <t>Bank Name</t>
  </si>
  <si>
    <t>Savings A/c No.</t>
  </si>
  <si>
    <t>Beneficiary Name</t>
  </si>
  <si>
    <t>(Provide Personal Bank details if not having existing Kotak CRN)</t>
  </si>
  <si>
    <t xml:space="preserve">SAVINGS BANK ACCOUNT DETAILS </t>
  </si>
  <si>
    <t>Existing KOTAK Customer Relationship Number (CRN)</t>
  </si>
  <si>
    <t xml:space="preserve">As per clause 16 of the Appointment Letter, you have been informed that your appointment is subject to a probation period and that you will be confirmed in your services on successful completion of your probation period.
Please note that one of the pre-requisites for confirmation of your services is that you are required to successfully complete one or more of following certifications as required by your role, during the probation period (if you are not already holding a valid certification of the same):
1. EUIN
2. IRDA
3. NSDL
</t>
  </si>
  <si>
    <t xml:space="preserve">Your services will not get confirmed if you fail to obtain the above certification(s) as required by your role, before the end of your probationary period. 
You are further advised that as per the Regulations, you cannot engage into selling the applicable products unless you are certified as mentioned above, by the relevant authorities. 
Please note any deviation from complying with the above will result into disciplinary action taken against you. Further you may also be liable to pay such penalty as imposed by regulators / authorities, for violation of the aforesaid Regulations
In case you have already been certified, and the certificate(s) so issued stands valid as on this date, please upload a copy of the Certificate on the Kotak Intranet at the following link. 
</t>
  </si>
  <si>
    <t xml:space="preserve">Training and Development&gt; Forms, Formats and Work Books&gt; Format &gt; Certifications - IRDA, NISM Series VI (NSDL Ops) and NISM Series V-A (EUIN) &gt; External Certification - Document Submission Template &gt; External Certification
Or you may please e-mail it to Consumer Bank Training at bank.rl.training@kotak.com
For any clarification please contact your respective HR Relationship Manager.  
</t>
  </si>
  <si>
    <t>FEB</t>
  </si>
  <si>
    <t>PARTNER</t>
  </si>
  <si>
    <t>O NEGATIVE    (O-)</t>
  </si>
  <si>
    <t>ISLAM</t>
  </si>
  <si>
    <t>ANDHRA PRADESH</t>
  </si>
  <si>
    <t>KOMMULA</t>
  </si>
  <si>
    <t>SRIKANTH</t>
  </si>
  <si>
    <t>RAJAIAH</t>
  </si>
  <si>
    <t>MALE</t>
  </si>
  <si>
    <t>SC</t>
  </si>
  <si>
    <t>MIJPS7369P</t>
  </si>
  <si>
    <t>450540363355</t>
  </si>
  <si>
    <t>SINGLE</t>
  </si>
  <si>
    <t>sri.kommula98@gmail.com</t>
  </si>
  <si>
    <t>9550069116</t>
  </si>
  <si>
    <t>7-1-632/79/1/A BAAPU NAGAR .SR NAGAR500038</t>
  </si>
  <si>
    <t>HYDERABAD</t>
  </si>
  <si>
    <t>SIDDIPET</t>
  </si>
  <si>
    <t>3/150/1 GOURAVELLY,AKKANNAPET,SIDDIPET NEAR GOURAVELLY BUSTOP</t>
  </si>
  <si>
    <t>KOMMULA RAJAIAH</t>
  </si>
  <si>
    <t>FARMAR</t>
  </si>
  <si>
    <t>KOMMUA SUGUNA</t>
  </si>
  <si>
    <t>KOMMULA VINOD</t>
  </si>
  <si>
    <t>JOB</t>
  </si>
  <si>
    <t>KOMMULA SHIVA</t>
  </si>
  <si>
    <t xml:space="preserve">DEGREE 
 </t>
  </si>
  <si>
    <t>BSC(STATISTICS)</t>
  </si>
  <si>
    <t>VAGDEVI DEGREE COLLEGE</t>
  </si>
  <si>
    <t>KAKATIYA UNIVERSITY</t>
  </si>
  <si>
    <t>INTERMEDIATE</t>
  </si>
  <si>
    <t>MPC</t>
  </si>
  <si>
    <t>VIGNAN JUNIOR COLLEGE</t>
  </si>
  <si>
    <t>SSC</t>
  </si>
  <si>
    <t>GENRAL</t>
  </si>
  <si>
    <t>ZPHS GOURAVELLY</t>
  </si>
  <si>
    <t>SSC BOARD</t>
  </si>
  <si>
    <t>7.8 GPA</t>
  </si>
  <si>
    <t>BHARATHI AIRTEL</t>
  </si>
  <si>
    <t>ETREME FIBRE EXECUTIVE</t>
  </si>
  <si>
    <t>PERSONAL PROBLEM</t>
  </si>
  <si>
    <t>HDFC BANK</t>
  </si>
  <si>
    <t>SALES EXECUTIVE</t>
  </si>
  <si>
    <t>EXTREME AIRTEL FIBRE</t>
  </si>
  <si>
    <t>DATTU</t>
  </si>
  <si>
    <t>VENKATESH</t>
  </si>
  <si>
    <t>V5254331</t>
  </si>
  <si>
    <t xml:space="preserve"> MAHESH</t>
  </si>
</sst>
</file>

<file path=xl/styles.xml><?xml version="1.0" encoding="utf-8"?>
<styleSheet xmlns="http://schemas.openxmlformats.org/spreadsheetml/2006/main">
  <numFmts count="5">
    <numFmt numFmtId="164" formatCode="[$-14009]d\ mmmm\ yyyy;@"/>
    <numFmt numFmtId="165" formatCode="000\-00000000"/>
    <numFmt numFmtId="166" formatCode="[$-4009]dd\ mmm\ yyyy"/>
    <numFmt numFmtId="167" formatCode="dd/mmm/yyyy"/>
    <numFmt numFmtId="168" formatCode="00"/>
  </numFmts>
  <fonts count="47">
    <font>
      <sz val="11"/>
      <color theme="1"/>
      <name val="Calibri"/>
      <family val="2"/>
      <scheme val="minor"/>
    </font>
    <font>
      <b/>
      <sz val="10"/>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sz val="11"/>
      <name val="Wingdings"/>
      <charset val="2"/>
    </font>
    <font>
      <sz val="11"/>
      <color theme="1"/>
      <name val="Calibri"/>
      <family val="2"/>
      <scheme val="minor"/>
    </font>
    <font>
      <b/>
      <sz val="11"/>
      <color theme="0"/>
      <name val="Calibri"/>
      <family val="2"/>
      <scheme val="minor"/>
    </font>
    <font>
      <b/>
      <sz val="11"/>
      <color theme="1"/>
      <name val="Calibri"/>
      <family val="2"/>
      <scheme val="minor"/>
    </font>
    <font>
      <b/>
      <sz val="18"/>
      <color theme="1"/>
      <name val="Calibri"/>
      <family val="2"/>
    </font>
    <font>
      <b/>
      <sz val="10"/>
      <color theme="1"/>
      <name val="Calibri"/>
      <family val="2"/>
    </font>
    <font>
      <b/>
      <sz val="18"/>
      <color theme="1"/>
      <name val="Calibri"/>
      <family val="2"/>
      <scheme val="minor"/>
    </font>
    <font>
      <sz val="18"/>
      <color theme="1"/>
      <name val="Calibri"/>
      <family val="2"/>
      <scheme val="minor"/>
    </font>
    <font>
      <sz val="10"/>
      <color theme="1"/>
      <name val="Calibri"/>
      <family val="2"/>
      <scheme val="minor"/>
    </font>
    <font>
      <sz val="11"/>
      <color theme="0" tint="-0.499984740745262"/>
      <name val="Calibri"/>
      <family val="2"/>
      <scheme val="minor"/>
    </font>
    <font>
      <b/>
      <sz val="10"/>
      <color theme="1"/>
      <name val="Calibri"/>
      <family val="2"/>
      <scheme val="minor"/>
    </font>
    <font>
      <b/>
      <sz val="16"/>
      <color theme="1"/>
      <name val="Calibri"/>
      <family val="2"/>
      <scheme val="minor"/>
    </font>
    <font>
      <sz val="16"/>
      <color theme="1"/>
      <name val="Calibri"/>
      <family val="2"/>
      <scheme val="minor"/>
    </font>
    <font>
      <i/>
      <sz val="11"/>
      <color theme="1"/>
      <name val="Calibri"/>
      <family val="2"/>
      <scheme val="minor"/>
    </font>
    <font>
      <i/>
      <sz val="12"/>
      <color theme="1"/>
      <name val="Calibri"/>
      <family val="2"/>
      <scheme val="minor"/>
    </font>
    <font>
      <b/>
      <sz val="12"/>
      <color theme="1"/>
      <name val="Calibri"/>
      <family val="2"/>
      <scheme val="minor"/>
    </font>
    <font>
      <sz val="12"/>
      <color theme="1"/>
      <name val="Calibri"/>
      <family val="2"/>
      <scheme val="minor"/>
    </font>
    <font>
      <sz val="10"/>
      <name val="Calibri"/>
      <family val="2"/>
      <scheme val="minor"/>
    </font>
    <font>
      <sz val="8"/>
      <color theme="1"/>
      <name val="Calibri"/>
      <family val="2"/>
      <scheme val="minor"/>
    </font>
    <font>
      <b/>
      <sz val="14"/>
      <color theme="1"/>
      <name val="Calibri"/>
      <family val="2"/>
      <scheme val="minor"/>
    </font>
    <font>
      <sz val="14"/>
      <color theme="1"/>
      <name val="Calibri"/>
      <family val="2"/>
      <scheme val="minor"/>
    </font>
    <font>
      <b/>
      <sz val="8"/>
      <color theme="1"/>
      <name val="Calibri"/>
      <family val="2"/>
      <scheme val="minor"/>
    </font>
    <font>
      <sz val="8"/>
      <color theme="1"/>
      <name val="Wingdings"/>
      <charset val="2"/>
    </font>
    <font>
      <b/>
      <u/>
      <sz val="14"/>
      <color theme="1"/>
      <name val="Calibri"/>
      <family val="2"/>
      <scheme val="minor"/>
    </font>
    <font>
      <b/>
      <sz val="14"/>
      <color theme="0"/>
      <name val="Calibri"/>
      <family val="2"/>
      <scheme val="minor"/>
    </font>
    <font>
      <sz val="10"/>
      <color theme="1"/>
      <name val="Wingdings"/>
      <charset val="2"/>
    </font>
    <font>
      <u/>
      <sz val="10"/>
      <color theme="1"/>
      <name val="Calibri"/>
      <family val="2"/>
      <scheme val="minor"/>
    </font>
    <font>
      <b/>
      <sz val="16"/>
      <color theme="0"/>
      <name val="Calibri"/>
      <family val="2"/>
      <scheme val="minor"/>
    </font>
    <font>
      <b/>
      <i/>
      <sz val="11"/>
      <color theme="1"/>
      <name val="Calibri"/>
      <family val="2"/>
      <scheme val="minor"/>
    </font>
    <font>
      <sz val="9"/>
      <color theme="1"/>
      <name val="Calibri"/>
      <family val="2"/>
      <scheme val="minor"/>
    </font>
    <font>
      <b/>
      <sz val="10"/>
      <name val="Calibri"/>
      <family val="2"/>
      <scheme val="minor"/>
    </font>
    <font>
      <sz val="11"/>
      <name val="Calibri"/>
      <family val="2"/>
      <scheme val="minor"/>
    </font>
    <font>
      <sz val="6"/>
      <color theme="1"/>
      <name val="Calibri"/>
      <family val="2"/>
      <scheme val="minor"/>
    </font>
    <font>
      <b/>
      <i/>
      <sz val="10"/>
      <color theme="1"/>
      <name val="Calibri"/>
      <family val="2"/>
      <scheme val="minor"/>
    </font>
    <font>
      <b/>
      <sz val="9"/>
      <color theme="1"/>
      <name val="Calibri"/>
      <family val="2"/>
      <scheme val="minor"/>
    </font>
    <font>
      <b/>
      <sz val="11"/>
      <color theme="1"/>
      <name val="Calibri"/>
      <family val="2"/>
    </font>
    <font>
      <b/>
      <sz val="9"/>
      <color rgb="FF3333CC"/>
      <name val="Calibri"/>
      <family val="2"/>
      <scheme val="minor"/>
    </font>
    <font>
      <i/>
      <sz val="9"/>
      <color theme="1"/>
      <name val="Calibri"/>
      <family val="2"/>
      <scheme val="minor"/>
    </font>
    <font>
      <sz val="11"/>
      <color theme="1"/>
      <name val="Wingdings"/>
      <charset val="2"/>
    </font>
    <font>
      <b/>
      <u/>
      <sz val="12"/>
      <color theme="1"/>
      <name val="Calibri"/>
      <family val="2"/>
      <scheme val="minor"/>
    </font>
    <font>
      <sz val="11"/>
      <color rgb="FF000000"/>
      <name val="Calibri"/>
      <family val="2"/>
      <scheme val="minor"/>
    </font>
  </fonts>
  <fills count="7">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9" tint="-0.249977111117893"/>
        <bgColor indexed="64"/>
      </patternFill>
    </fill>
  </fills>
  <borders count="20">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ashed">
        <color indexed="64"/>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top style="dashed">
        <color indexed="64"/>
      </top>
      <bottom style="thin">
        <color indexed="64"/>
      </bottom>
      <diagonal/>
    </border>
    <border>
      <left/>
      <right/>
      <top style="dashed">
        <color indexed="64"/>
      </top>
      <bottom style="thin">
        <color indexed="64"/>
      </bottom>
      <diagonal/>
    </border>
    <border>
      <left/>
      <right style="thin">
        <color indexed="64"/>
      </right>
      <top style="dashed">
        <color indexed="64"/>
      </top>
      <bottom style="thin">
        <color indexed="64"/>
      </bottom>
      <diagonal/>
    </border>
  </borders>
  <cellStyleXfs count="2">
    <xf numFmtId="0" fontId="0" fillId="0" borderId="0"/>
    <xf numFmtId="9" fontId="7" fillId="0" borderId="0" applyFont="0" applyFill="0" applyBorder="0" applyAlignment="0" applyProtection="0"/>
  </cellStyleXfs>
  <cellXfs count="635">
    <xf numFmtId="0" fontId="0" fillId="0" borderId="0" xfId="0"/>
    <xf numFmtId="0" fontId="9" fillId="0" borderId="0" xfId="0" applyFont="1" applyProtection="1">
      <protection hidden="1"/>
    </xf>
    <xf numFmtId="0" fontId="10" fillId="0" borderId="0" xfId="0" applyFont="1" applyBorder="1" applyProtection="1">
      <protection hidden="1"/>
    </xf>
    <xf numFmtId="0" fontId="11" fillId="0" borderId="0" xfId="0" applyFont="1" applyBorder="1" applyProtection="1">
      <protection hidden="1"/>
    </xf>
    <xf numFmtId="0" fontId="12" fillId="0" borderId="0" xfId="0" applyFont="1" applyProtection="1">
      <protection hidden="1"/>
    </xf>
    <xf numFmtId="0" fontId="13" fillId="0" borderId="0" xfId="0" applyFont="1" applyProtection="1">
      <protection hidden="1"/>
    </xf>
    <xf numFmtId="0" fontId="14" fillId="0" borderId="0" xfId="0" applyFont="1" applyProtection="1">
      <protection hidden="1"/>
    </xf>
    <xf numFmtId="0" fontId="14" fillId="0" borderId="0" xfId="0" applyFont="1" applyBorder="1" applyProtection="1">
      <protection hidden="1"/>
    </xf>
    <xf numFmtId="0" fontId="14" fillId="0" borderId="1" xfId="0" applyFont="1" applyBorder="1" applyProtection="1">
      <protection hidden="1"/>
    </xf>
    <xf numFmtId="0" fontId="0" fillId="0" borderId="1" xfId="0" applyBorder="1" applyProtection="1">
      <protection hidden="1"/>
    </xf>
    <xf numFmtId="0" fontId="0" fillId="0" borderId="2" xfId="0" applyBorder="1" applyProtection="1">
      <protection hidden="1"/>
    </xf>
    <xf numFmtId="0" fontId="15" fillId="0" borderId="0" xfId="0" applyFont="1" applyBorder="1" applyAlignment="1" applyProtection="1">
      <alignment horizontal="center" vertical="center"/>
      <protection hidden="1"/>
    </xf>
    <xf numFmtId="0" fontId="16" fillId="0" borderId="0" xfId="0" applyFont="1" applyProtection="1">
      <protection hidden="1"/>
    </xf>
    <xf numFmtId="0" fontId="0" fillId="0" borderId="0" xfId="0" applyBorder="1" applyProtection="1">
      <protection hidden="1"/>
    </xf>
    <xf numFmtId="0" fontId="16" fillId="0" borderId="0" xfId="0" applyFont="1" applyBorder="1" applyProtection="1">
      <protection hidden="1"/>
    </xf>
    <xf numFmtId="0" fontId="14" fillId="0" borderId="0" xfId="0" applyFont="1" applyBorder="1" applyAlignment="1" applyProtection="1">
      <alignment horizontal="center" vertical="center"/>
      <protection hidden="1"/>
    </xf>
    <xf numFmtId="0" fontId="9" fillId="0" borderId="0" xfId="0" applyFont="1" applyBorder="1" applyProtection="1">
      <protection hidden="1"/>
    </xf>
    <xf numFmtId="0" fontId="0" fillId="0" borderId="3" xfId="0" applyBorder="1" applyProtection="1">
      <protection hidden="1"/>
    </xf>
    <xf numFmtId="0" fontId="0" fillId="0" borderId="4" xfId="0" applyBorder="1" applyProtection="1">
      <protection hidden="1"/>
    </xf>
    <xf numFmtId="0" fontId="16" fillId="0" borderId="0" xfId="0" applyFont="1" applyBorder="1" applyAlignment="1" applyProtection="1">
      <alignment horizontal="center"/>
      <protection hidden="1"/>
    </xf>
    <xf numFmtId="0" fontId="16" fillId="0" borderId="0" xfId="0" applyFont="1" applyAlignment="1" applyProtection="1">
      <alignment horizontal="center"/>
      <protection hidden="1"/>
    </xf>
    <xf numFmtId="0" fontId="14" fillId="0" borderId="0" xfId="0" applyFont="1" applyAlignment="1" applyProtection="1">
      <alignment vertical="center"/>
      <protection hidden="1"/>
    </xf>
    <xf numFmtId="0" fontId="16" fillId="0" borderId="0" xfId="0" applyFont="1" applyBorder="1" applyAlignment="1" applyProtection="1">
      <alignment horizontal="left" vertical="center"/>
      <protection hidden="1"/>
    </xf>
    <xf numFmtId="0" fontId="0" fillId="0" borderId="0" xfId="0" applyProtection="1">
      <protection hidden="1"/>
    </xf>
    <xf numFmtId="0" fontId="0" fillId="0" borderId="0" xfId="0" applyProtection="1">
      <protection hidden="1"/>
    </xf>
    <xf numFmtId="0" fontId="0" fillId="0" borderId="5" xfId="0" applyBorder="1" applyProtection="1">
      <protection hidden="1"/>
    </xf>
    <xf numFmtId="0" fontId="0" fillId="0" borderId="0" xfId="0" applyNumberFormat="1" applyProtection="1">
      <protection hidden="1"/>
    </xf>
    <xf numFmtId="0" fontId="0" fillId="0" borderId="0" xfId="0" applyNumberFormat="1" applyBorder="1" applyProtection="1">
      <protection hidden="1"/>
    </xf>
    <xf numFmtId="0" fontId="17" fillId="0" borderId="0" xfId="0" applyFont="1" applyBorder="1" applyProtection="1">
      <protection hidden="1"/>
    </xf>
    <xf numFmtId="0" fontId="18" fillId="0" borderId="0" xfId="0" applyFont="1" applyBorder="1" applyProtection="1">
      <protection hidden="1"/>
    </xf>
    <xf numFmtId="0" fontId="18" fillId="0" borderId="0" xfId="0" applyFont="1" applyProtection="1">
      <protection hidden="1"/>
    </xf>
    <xf numFmtId="0" fontId="17" fillId="0" borderId="0" xfId="0" applyFont="1" applyBorder="1" applyAlignment="1" applyProtection="1">
      <alignment horizontal="center" vertical="center"/>
      <protection hidden="1"/>
    </xf>
    <xf numFmtId="0" fontId="0" fillId="0" borderId="6" xfId="0" applyBorder="1" applyProtection="1">
      <protection hidden="1"/>
    </xf>
    <xf numFmtId="0" fontId="0" fillId="0" borderId="7" xfId="0" applyBorder="1" applyProtection="1">
      <protection hidden="1"/>
    </xf>
    <xf numFmtId="0" fontId="0" fillId="0" borderId="8" xfId="0" applyBorder="1" applyProtection="1">
      <protection hidden="1"/>
    </xf>
    <xf numFmtId="0" fontId="19" fillId="0" borderId="0" xfId="0" applyFont="1" applyBorder="1" applyProtection="1">
      <protection hidden="1"/>
    </xf>
    <xf numFmtId="0" fontId="20" fillId="0" borderId="0" xfId="0" applyFont="1" applyBorder="1" applyProtection="1">
      <protection hidden="1"/>
    </xf>
    <xf numFmtId="0" fontId="0" fillId="0" borderId="9" xfId="0" applyBorder="1" applyProtection="1">
      <protection hidden="1"/>
    </xf>
    <xf numFmtId="0" fontId="0" fillId="0" borderId="10" xfId="0" applyBorder="1" applyProtection="1">
      <protection hidden="1"/>
    </xf>
    <xf numFmtId="0" fontId="14" fillId="0" borderId="5" xfId="0" applyFont="1" applyBorder="1" applyProtection="1">
      <protection hidden="1"/>
    </xf>
    <xf numFmtId="0" fontId="9" fillId="0" borderId="0" xfId="0" applyFont="1" applyBorder="1" applyAlignment="1" applyProtection="1">
      <protection hidden="1"/>
    </xf>
    <xf numFmtId="0" fontId="21" fillId="0" borderId="0" xfId="0" applyFont="1" applyBorder="1" applyProtection="1">
      <protection hidden="1"/>
    </xf>
    <xf numFmtId="0" fontId="22" fillId="0" borderId="0" xfId="0" applyFont="1" applyBorder="1" applyProtection="1">
      <protection hidden="1"/>
    </xf>
    <xf numFmtId="0" fontId="22" fillId="0" borderId="0" xfId="0" applyFont="1" applyProtection="1">
      <protection hidden="1"/>
    </xf>
    <xf numFmtId="0" fontId="9" fillId="0" borderId="0" xfId="0" applyFont="1" applyBorder="1" applyAlignment="1" applyProtection="1">
      <alignment vertical="center"/>
      <protection hidden="1"/>
    </xf>
    <xf numFmtId="0" fontId="9" fillId="0" borderId="0" xfId="0" applyFont="1" applyBorder="1" applyAlignment="1" applyProtection="1">
      <alignment vertical="top"/>
      <protection hidden="1"/>
    </xf>
    <xf numFmtId="0" fontId="16" fillId="0" borderId="0" xfId="0" applyFont="1" applyFill="1" applyBorder="1" applyProtection="1">
      <protection hidden="1"/>
    </xf>
    <xf numFmtId="0" fontId="16" fillId="0" borderId="0" xfId="0" applyFont="1" applyBorder="1" applyAlignment="1" applyProtection="1">
      <protection hidden="1"/>
    </xf>
    <xf numFmtId="0" fontId="0" fillId="0" borderId="0" xfId="0" applyBorder="1" applyAlignment="1" applyProtection="1">
      <alignment vertical="center"/>
      <protection hidden="1"/>
    </xf>
    <xf numFmtId="0" fontId="0" fillId="0" borderId="0" xfId="0" applyAlignment="1" applyProtection="1">
      <alignment vertical="center"/>
      <protection hidden="1"/>
    </xf>
    <xf numFmtId="0" fontId="0" fillId="0" borderId="5" xfId="0" applyBorder="1" applyAlignment="1" applyProtection="1">
      <alignment vertical="center"/>
      <protection hidden="1"/>
    </xf>
    <xf numFmtId="0" fontId="23" fillId="0" borderId="1" xfId="0" applyFont="1" applyBorder="1" applyAlignment="1" applyProtection="1">
      <alignment vertical="center"/>
      <protection hidden="1"/>
    </xf>
    <xf numFmtId="0" fontId="0" fillId="0" borderId="1" xfId="0" applyBorder="1" applyAlignment="1" applyProtection="1">
      <alignment vertical="center"/>
      <protection hidden="1"/>
    </xf>
    <xf numFmtId="0" fontId="16" fillId="0" borderId="0" xfId="0" applyFont="1" applyAlignment="1" applyProtection="1">
      <protection hidden="1"/>
    </xf>
    <xf numFmtId="0" fontId="9" fillId="0" borderId="0" xfId="0" applyFont="1" applyBorder="1" applyAlignment="1" applyProtection="1">
      <alignment horizontal="center" vertical="center"/>
      <protection hidden="1"/>
    </xf>
    <xf numFmtId="0" fontId="14" fillId="0" borderId="0" xfId="0" applyFont="1" applyBorder="1" applyAlignment="1" applyProtection="1">
      <protection hidden="1"/>
    </xf>
    <xf numFmtId="0" fontId="14" fillId="0" borderId="0" xfId="0" applyFont="1" applyAlignment="1" applyProtection="1">
      <protection hidden="1"/>
    </xf>
    <xf numFmtId="0" fontId="14" fillId="0" borderId="0" xfId="0" applyFont="1" applyBorder="1" applyAlignment="1" applyProtection="1">
      <alignment horizontal="left"/>
      <protection hidden="1"/>
    </xf>
    <xf numFmtId="0" fontId="24" fillId="0" borderId="0" xfId="0" applyFont="1" applyProtection="1">
      <protection hidden="1"/>
    </xf>
    <xf numFmtId="1" fontId="0" fillId="0" borderId="0" xfId="0" applyNumberFormat="1" applyProtection="1">
      <protection hidden="1"/>
    </xf>
    <xf numFmtId="1" fontId="14" fillId="0" borderId="0" xfId="0" applyNumberFormat="1" applyFont="1" applyProtection="1">
      <protection hidden="1"/>
    </xf>
    <xf numFmtId="1" fontId="23" fillId="0" borderId="0" xfId="0" applyNumberFormat="1" applyFont="1" applyProtection="1">
      <protection hidden="1"/>
    </xf>
    <xf numFmtId="0" fontId="25" fillId="0" borderId="0" xfId="0" applyFont="1" applyBorder="1" applyAlignment="1" applyProtection="1">
      <alignment horizontal="center"/>
      <protection hidden="1"/>
    </xf>
    <xf numFmtId="0" fontId="25" fillId="0" borderId="0" xfId="0" applyFont="1" applyAlignment="1" applyProtection="1">
      <alignment horizontal="center"/>
      <protection hidden="1"/>
    </xf>
    <xf numFmtId="0" fontId="9" fillId="0" borderId="0" xfId="0" applyFont="1" applyAlignment="1" applyProtection="1">
      <alignment horizontal="center" vertical="center"/>
      <protection hidden="1"/>
    </xf>
    <xf numFmtId="0" fontId="26" fillId="0" borderId="0" xfId="0" applyFont="1" applyProtection="1">
      <protection hidden="1"/>
    </xf>
    <xf numFmtId="0" fontId="14" fillId="0" borderId="8" xfId="0" applyFont="1" applyBorder="1" applyProtection="1">
      <protection hidden="1"/>
    </xf>
    <xf numFmtId="0" fontId="16" fillId="0" borderId="0" xfId="0" applyFont="1" applyAlignment="1" applyProtection="1">
      <alignment horizontal="center" vertical="center"/>
      <protection hidden="1"/>
    </xf>
    <xf numFmtId="0" fontId="14" fillId="0" borderId="5" xfId="0" applyFont="1" applyBorder="1" applyAlignment="1" applyProtection="1">
      <protection hidden="1"/>
    </xf>
    <xf numFmtId="0" fontId="27" fillId="0" borderId="0" xfId="0" applyFont="1" applyProtection="1">
      <protection hidden="1"/>
    </xf>
    <xf numFmtId="0" fontId="24" fillId="0" borderId="0" xfId="0" applyFont="1" applyBorder="1" applyProtection="1">
      <protection hidden="1"/>
    </xf>
    <xf numFmtId="0" fontId="24" fillId="0" borderId="0" xfId="0" applyFont="1" applyFill="1" applyBorder="1" applyProtection="1">
      <protection hidden="1"/>
    </xf>
    <xf numFmtId="0" fontId="9" fillId="0" borderId="0" xfId="0" applyFont="1" applyBorder="1" applyAlignment="1" applyProtection="1">
      <alignment horizontal="center"/>
      <protection hidden="1"/>
    </xf>
    <xf numFmtId="0" fontId="14" fillId="0" borderId="0" xfId="0" applyFont="1" applyBorder="1" applyAlignment="1" applyProtection="1">
      <alignment vertical="center"/>
      <protection hidden="1"/>
    </xf>
    <xf numFmtId="0" fontId="14" fillId="0" borderId="6" xfId="0" applyFont="1" applyBorder="1" applyProtection="1">
      <protection hidden="1"/>
    </xf>
    <xf numFmtId="0" fontId="14" fillId="0" borderId="3" xfId="0" applyFont="1" applyBorder="1" applyProtection="1">
      <protection hidden="1"/>
    </xf>
    <xf numFmtId="0" fontId="14" fillId="0" borderId="4" xfId="0" applyFont="1" applyBorder="1" applyProtection="1">
      <protection hidden="1"/>
    </xf>
    <xf numFmtId="0" fontId="14" fillId="0" borderId="7" xfId="0" applyFont="1" applyBorder="1" applyProtection="1">
      <protection hidden="1"/>
    </xf>
    <xf numFmtId="0" fontId="14" fillId="0" borderId="0" xfId="0" applyFont="1" applyFill="1" applyBorder="1" applyProtection="1">
      <protection hidden="1"/>
    </xf>
    <xf numFmtId="0" fontId="14" fillId="0" borderId="9" xfId="0" applyFont="1" applyBorder="1" applyProtection="1">
      <protection hidden="1"/>
    </xf>
    <xf numFmtId="0" fontId="14" fillId="0" borderId="5" xfId="0" applyFont="1" applyFill="1" applyBorder="1" applyProtection="1">
      <protection hidden="1"/>
    </xf>
    <xf numFmtId="0" fontId="23" fillId="0" borderId="5" xfId="0" applyFont="1" applyBorder="1" applyAlignment="1" applyProtection="1">
      <alignment vertical="center"/>
      <protection hidden="1"/>
    </xf>
    <xf numFmtId="0" fontId="14" fillId="0" borderId="10" xfId="0" applyFont="1" applyBorder="1" applyProtection="1">
      <protection hidden="1"/>
    </xf>
    <xf numFmtId="0" fontId="23" fillId="0" borderId="0" xfId="0" applyFont="1" applyBorder="1" applyAlignment="1" applyProtection="1">
      <alignment vertical="center"/>
      <protection hidden="1"/>
    </xf>
    <xf numFmtId="0" fontId="16" fillId="0" borderId="1" xfId="0" applyFont="1" applyBorder="1" applyProtection="1">
      <protection hidden="1"/>
    </xf>
    <xf numFmtId="0" fontId="21" fillId="0" borderId="0" xfId="0" applyFont="1" applyBorder="1" applyAlignment="1" applyProtection="1">
      <alignment horizontal="center"/>
      <protection hidden="1"/>
    </xf>
    <xf numFmtId="0" fontId="28" fillId="0" borderId="0" xfId="0" applyFont="1" applyAlignment="1" applyProtection="1">
      <alignment horizontal="center" vertical="center"/>
      <protection hidden="1"/>
    </xf>
    <xf numFmtId="0" fontId="25" fillId="0" borderId="5" xfId="0" applyFont="1" applyBorder="1" applyAlignment="1" applyProtection="1">
      <alignment horizontal="center"/>
      <protection hidden="1"/>
    </xf>
    <xf numFmtId="0" fontId="17" fillId="0" borderId="0" xfId="0" applyFont="1" applyBorder="1" applyAlignment="1" applyProtection="1">
      <alignment horizontal="center"/>
      <protection hidden="1"/>
    </xf>
    <xf numFmtId="0" fontId="29" fillId="0" borderId="0" xfId="0" applyFont="1" applyAlignment="1">
      <alignment horizontal="center" vertical="center"/>
    </xf>
    <xf numFmtId="0" fontId="14" fillId="0" borderId="0" xfId="0" applyFont="1"/>
    <xf numFmtId="0" fontId="30" fillId="2" borderId="0" xfId="0" applyFont="1" applyFill="1" applyAlignment="1">
      <alignment horizontal="center" vertical="center"/>
    </xf>
    <xf numFmtId="0" fontId="31" fillId="0" borderId="0" xfId="0" applyFont="1" applyBorder="1" applyAlignment="1" applyProtection="1">
      <alignment horizontal="center" vertical="center"/>
      <protection hidden="1"/>
    </xf>
    <xf numFmtId="0" fontId="0" fillId="0" borderId="0" xfId="0" applyBorder="1" applyAlignment="1" applyProtection="1">
      <protection hidden="1"/>
    </xf>
    <xf numFmtId="0" fontId="0" fillId="0" borderId="5" xfId="0" applyBorder="1" applyAlignment="1" applyProtection="1">
      <protection hidden="1"/>
    </xf>
    <xf numFmtId="0" fontId="0" fillId="0" borderId="0" xfId="0" applyProtection="1">
      <protection hidden="1"/>
    </xf>
    <xf numFmtId="0" fontId="0" fillId="0" borderId="0" xfId="0" applyFont="1" applyProtection="1">
      <protection hidden="1"/>
    </xf>
    <xf numFmtId="0" fontId="0" fillId="0" borderId="0" xfId="0" applyNumberFormat="1" applyFont="1" applyProtection="1">
      <protection hidden="1"/>
    </xf>
    <xf numFmtId="0" fontId="0" fillId="0" borderId="0" xfId="0" applyFont="1" applyBorder="1" applyProtection="1">
      <protection hidden="1"/>
    </xf>
    <xf numFmtId="0" fontId="0" fillId="0" borderId="0" xfId="0" applyProtection="1">
      <protection hidden="1"/>
    </xf>
    <xf numFmtId="0" fontId="0" fillId="0" borderId="0" xfId="0" applyProtection="1">
      <protection hidden="1"/>
    </xf>
    <xf numFmtId="14" fontId="0" fillId="0" borderId="0" xfId="0" applyNumberFormat="1" applyProtection="1">
      <protection hidden="1"/>
    </xf>
    <xf numFmtId="0" fontId="16" fillId="0" borderId="0" xfId="0" applyFont="1" applyBorder="1" applyAlignment="1" applyProtection="1">
      <alignment vertical="top"/>
      <protection hidden="1"/>
    </xf>
    <xf numFmtId="0" fontId="0" fillId="0" borderId="0" xfId="0" applyProtection="1">
      <protection hidden="1"/>
    </xf>
    <xf numFmtId="0" fontId="0" fillId="0" borderId="0" xfId="0" applyProtection="1">
      <protection hidden="1"/>
    </xf>
    <xf numFmtId="0" fontId="0" fillId="0" borderId="0" xfId="0" applyBorder="1"/>
    <xf numFmtId="0" fontId="0" fillId="0" borderId="0" xfId="0" applyProtection="1">
      <protection hidden="1"/>
    </xf>
    <xf numFmtId="0" fontId="16" fillId="0" borderId="0" xfId="0" applyFont="1" applyBorder="1" applyAlignment="1" applyProtection="1">
      <alignment vertical="center"/>
      <protection hidden="1"/>
    </xf>
    <xf numFmtId="0" fontId="0" fillId="0" borderId="0" xfId="0" applyAlignment="1" applyProtection="1">
      <protection hidden="1"/>
    </xf>
    <xf numFmtId="164" fontId="32" fillId="0" borderId="0" xfId="0" applyNumberFormat="1" applyFont="1" applyBorder="1" applyAlignment="1" applyProtection="1">
      <protection hidden="1"/>
    </xf>
    <xf numFmtId="164" fontId="14" fillId="0" borderId="0" xfId="0" applyNumberFormat="1" applyFont="1" applyBorder="1" applyAlignment="1" applyProtection="1">
      <protection hidden="1"/>
    </xf>
    <xf numFmtId="0" fontId="16" fillId="0" borderId="5" xfId="0" applyFont="1" applyBorder="1" applyAlignment="1" applyProtection="1">
      <alignment horizontal="center"/>
      <protection hidden="1"/>
    </xf>
    <xf numFmtId="0" fontId="0" fillId="3" borderId="0" xfId="0" applyFill="1" applyProtection="1">
      <protection hidden="1"/>
    </xf>
    <xf numFmtId="0" fontId="19" fillId="3" borderId="0" xfId="0" applyFont="1" applyFill="1" applyProtection="1">
      <protection hidden="1"/>
    </xf>
    <xf numFmtId="0" fontId="0" fillId="3" borderId="11" xfId="0" applyFill="1" applyBorder="1" applyProtection="1">
      <protection hidden="1"/>
    </xf>
    <xf numFmtId="0" fontId="0" fillId="3" borderId="12" xfId="0" applyFill="1" applyBorder="1" applyProtection="1">
      <protection hidden="1"/>
    </xf>
    <xf numFmtId="0" fontId="0" fillId="3" borderId="1" xfId="0" applyFill="1" applyBorder="1" applyProtection="1">
      <protection hidden="1"/>
    </xf>
    <xf numFmtId="0" fontId="0" fillId="3" borderId="2" xfId="0" applyFill="1" applyBorder="1" applyProtection="1">
      <protection hidden="1"/>
    </xf>
    <xf numFmtId="0" fontId="16" fillId="3" borderId="0" xfId="0" applyFont="1" applyFill="1" applyProtection="1">
      <protection hidden="1"/>
    </xf>
    <xf numFmtId="0" fontId="9" fillId="3" borderId="0" xfId="0" applyFont="1" applyFill="1" applyProtection="1">
      <protection hidden="1"/>
    </xf>
    <xf numFmtId="0" fontId="0" fillId="3" borderId="5" xfId="0" applyFill="1" applyBorder="1" applyProtection="1">
      <protection hidden="1"/>
    </xf>
    <xf numFmtId="0" fontId="16" fillId="3" borderId="0" xfId="0" applyFont="1" applyFill="1" applyAlignment="1" applyProtection="1">
      <alignment horizontal="center"/>
      <protection hidden="1"/>
    </xf>
    <xf numFmtId="0" fontId="14" fillId="0" borderId="0" xfId="0" applyFont="1" applyFill="1" applyProtection="1">
      <protection hidden="1"/>
    </xf>
    <xf numFmtId="0" fontId="24" fillId="0" borderId="0" xfId="0" applyFont="1" applyFill="1" applyProtection="1">
      <protection hidden="1"/>
    </xf>
    <xf numFmtId="0" fontId="14" fillId="0" borderId="12" xfId="0" applyFont="1" applyFill="1" applyBorder="1" applyAlignment="1" applyProtection="1">
      <alignment horizontal="center" vertical="center"/>
      <protection locked="0" hidden="1"/>
    </xf>
    <xf numFmtId="0" fontId="27" fillId="4" borderId="7" xfId="0" applyFont="1" applyFill="1" applyBorder="1" applyProtection="1">
      <protection hidden="1"/>
    </xf>
    <xf numFmtId="0" fontId="27" fillId="4" borderId="0" xfId="0" applyFont="1" applyFill="1" applyBorder="1" applyProtection="1">
      <protection hidden="1"/>
    </xf>
    <xf numFmtId="0" fontId="27" fillId="4" borderId="0" xfId="0" applyFont="1" applyFill="1" applyProtection="1">
      <protection hidden="1"/>
    </xf>
    <xf numFmtId="0" fontId="27" fillId="4" borderId="8" xfId="0" applyFont="1" applyFill="1" applyBorder="1" applyProtection="1">
      <protection hidden="1"/>
    </xf>
    <xf numFmtId="0" fontId="27" fillId="4" borderId="9" xfId="0" applyFont="1" applyFill="1" applyBorder="1" applyProtection="1">
      <protection hidden="1"/>
    </xf>
    <xf numFmtId="0" fontId="27" fillId="4" borderId="5" xfId="0" applyFont="1" applyFill="1" applyBorder="1" applyProtection="1">
      <protection hidden="1"/>
    </xf>
    <xf numFmtId="0" fontId="27" fillId="4" borderId="10" xfId="0" applyFont="1" applyFill="1" applyBorder="1" applyProtection="1">
      <protection hidden="1"/>
    </xf>
    <xf numFmtId="0" fontId="9" fillId="4" borderId="12" xfId="0" applyFont="1" applyFill="1" applyBorder="1" applyProtection="1">
      <protection hidden="1"/>
    </xf>
    <xf numFmtId="0" fontId="9" fillId="4" borderId="1" xfId="0" applyFont="1" applyFill="1" applyBorder="1" applyProtection="1">
      <protection hidden="1"/>
    </xf>
    <xf numFmtId="0" fontId="9" fillId="4" borderId="2" xfId="0" applyFont="1" applyFill="1" applyBorder="1" applyProtection="1">
      <protection hidden="1"/>
    </xf>
    <xf numFmtId="0" fontId="0" fillId="4" borderId="4" xfId="0" applyFill="1" applyBorder="1" applyProtection="1">
      <protection hidden="1"/>
    </xf>
    <xf numFmtId="0" fontId="0" fillId="4" borderId="12" xfId="0" applyFill="1" applyBorder="1" applyProtection="1">
      <protection hidden="1"/>
    </xf>
    <xf numFmtId="0" fontId="0" fillId="4" borderId="1" xfId="0" applyFill="1" applyBorder="1" applyProtection="1">
      <protection hidden="1"/>
    </xf>
    <xf numFmtId="0" fontId="9" fillId="4" borderId="12" xfId="0" applyFont="1" applyFill="1" applyBorder="1" applyAlignment="1" applyProtection="1">
      <protection hidden="1"/>
    </xf>
    <xf numFmtId="0" fontId="9" fillId="4" borderId="1" xfId="0" applyFont="1" applyFill="1" applyBorder="1" applyAlignment="1" applyProtection="1">
      <protection hidden="1"/>
    </xf>
    <xf numFmtId="0" fontId="9" fillId="4" borderId="12" xfId="0" applyFont="1" applyFill="1" applyBorder="1" applyAlignment="1" applyProtection="1">
      <alignment vertical="center"/>
      <protection hidden="1"/>
    </xf>
    <xf numFmtId="0" fontId="9" fillId="4" borderId="1" xfId="0" applyFont="1" applyFill="1" applyBorder="1" applyAlignment="1" applyProtection="1">
      <alignment vertical="center"/>
      <protection hidden="1"/>
    </xf>
    <xf numFmtId="0" fontId="9" fillId="4" borderId="3" xfId="0" applyFont="1" applyFill="1" applyBorder="1" applyProtection="1">
      <protection hidden="1"/>
    </xf>
    <xf numFmtId="0" fontId="9" fillId="4" borderId="4" xfId="0" applyFont="1" applyFill="1" applyBorder="1" applyProtection="1">
      <protection hidden="1"/>
    </xf>
    <xf numFmtId="0" fontId="16" fillId="4" borderId="1" xfId="0" applyFont="1" applyFill="1" applyBorder="1" applyAlignment="1" applyProtection="1">
      <alignment vertical="center"/>
      <protection hidden="1"/>
    </xf>
    <xf numFmtId="0" fontId="16" fillId="4" borderId="2" xfId="0" applyFont="1" applyFill="1" applyBorder="1" applyAlignment="1" applyProtection="1">
      <alignment vertical="center"/>
      <protection hidden="1"/>
    </xf>
    <xf numFmtId="0" fontId="14" fillId="4" borderId="1" xfId="0" applyFont="1" applyFill="1" applyBorder="1" applyAlignment="1" applyProtection="1">
      <alignment vertical="center"/>
      <protection hidden="1"/>
    </xf>
    <xf numFmtId="0" fontId="14" fillId="4" borderId="2" xfId="0" applyFont="1" applyFill="1" applyBorder="1" applyAlignment="1" applyProtection="1">
      <alignment vertical="center"/>
      <protection hidden="1"/>
    </xf>
    <xf numFmtId="0" fontId="0" fillId="0" borderId="0" xfId="0" quotePrefix="1" applyProtection="1">
      <protection hidden="1"/>
    </xf>
    <xf numFmtId="1" fontId="0" fillId="0" borderId="0" xfId="0" applyNumberFormat="1" applyAlignment="1" applyProtection="1">
      <alignment horizontal="center" vertical="center"/>
      <protection hidden="1"/>
    </xf>
    <xf numFmtId="0" fontId="14" fillId="0" borderId="5"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6" fillId="0" borderId="0" xfId="0" applyFont="1" applyBorder="1" applyAlignment="1" applyProtection="1">
      <alignment horizontal="center"/>
      <protection hidden="1"/>
    </xf>
    <xf numFmtId="0" fontId="14" fillId="0" borderId="0" xfId="0" applyFont="1" applyAlignment="1" applyProtection="1">
      <alignment horizontal="center"/>
      <protection hidden="1"/>
    </xf>
    <xf numFmtId="0" fontId="33" fillId="2" borderId="0" xfId="0" applyFont="1" applyFill="1" applyAlignment="1" applyProtection="1">
      <alignment horizontal="center" vertical="center"/>
      <protection hidden="1"/>
    </xf>
    <xf numFmtId="0" fontId="34" fillId="0" borderId="0" xfId="0" applyFont="1" applyProtection="1">
      <protection hidden="1"/>
    </xf>
    <xf numFmtId="0" fontId="0" fillId="0" borderId="7" xfId="0" applyBorder="1"/>
    <xf numFmtId="0" fontId="0" fillId="3" borderId="0" xfId="0" applyFill="1" applyBorder="1" applyProtection="1">
      <protection hidden="1"/>
    </xf>
    <xf numFmtId="0" fontId="16" fillId="4" borderId="12" xfId="0" applyFont="1" applyFill="1" applyBorder="1" applyAlignment="1" applyProtection="1">
      <alignment vertical="center"/>
      <protection hidden="1"/>
    </xf>
    <xf numFmtId="0" fontId="14" fillId="4" borderId="12" xfId="0" applyFont="1" applyFill="1" applyBorder="1" applyAlignment="1" applyProtection="1">
      <alignment vertical="center"/>
      <protection hidden="1"/>
    </xf>
    <xf numFmtId="0" fontId="14" fillId="0" borderId="0" xfId="0" quotePrefix="1" applyFont="1" applyAlignment="1">
      <alignment vertical="center"/>
    </xf>
    <xf numFmtId="0" fontId="14" fillId="0" borderId="0" xfId="0" applyFont="1" applyAlignment="1">
      <alignment vertical="center"/>
    </xf>
    <xf numFmtId="0" fontId="0" fillId="0" borderId="0" xfId="0" applyAlignment="1" applyProtection="1">
      <alignment horizontal="center" vertical="center"/>
      <protection hidden="1"/>
    </xf>
    <xf numFmtId="0" fontId="0" fillId="0" borderId="0" xfId="0" applyFill="1" applyProtection="1">
      <protection hidden="1"/>
    </xf>
    <xf numFmtId="0" fontId="9" fillId="0" borderId="11" xfId="0" applyFont="1" applyBorder="1" applyAlignment="1" applyProtection="1">
      <alignment horizontal="center" vertical="center"/>
      <protection hidden="1"/>
    </xf>
    <xf numFmtId="0" fontId="9" fillId="0" borderId="0" xfId="0" applyFont="1" applyAlignment="1" applyProtection="1">
      <alignment vertical="center" wrapText="1"/>
      <protection hidden="1"/>
    </xf>
    <xf numFmtId="0" fontId="9" fillId="0" borderId="11" xfId="0" applyFont="1" applyBorder="1" applyAlignment="1" applyProtection="1">
      <protection hidden="1"/>
    </xf>
    <xf numFmtId="0" fontId="0" fillId="0" borderId="0" xfId="0" applyFill="1" applyAlignment="1" applyProtection="1">
      <alignment horizontal="center" vertical="center"/>
      <protection hidden="1"/>
    </xf>
    <xf numFmtId="0" fontId="9" fillId="0" borderId="0" xfId="0" applyFont="1" applyAlignment="1" applyProtection="1">
      <alignment horizontal="left"/>
      <protection hidden="1"/>
    </xf>
    <xf numFmtId="0" fontId="9" fillId="0" borderId="0" xfId="0" applyFont="1" applyBorder="1" applyAlignment="1" applyProtection="1">
      <alignment horizontal="left"/>
      <protection hidden="1"/>
    </xf>
    <xf numFmtId="0" fontId="9" fillId="0" borderId="0" xfId="0" applyFont="1" applyAlignment="1" applyProtection="1">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0" xfId="0" applyFill="1" applyBorder="1" applyProtection="1">
      <protection hidden="1"/>
    </xf>
    <xf numFmtId="0" fontId="0" fillId="0" borderId="0" xfId="0" applyAlignment="1" applyProtection="1">
      <alignment horizontal="center"/>
      <protection hidden="1"/>
    </xf>
    <xf numFmtId="0" fontId="0" fillId="0" borderId="0" xfId="0" applyFont="1" applyBorder="1" applyAlignment="1" applyProtection="1">
      <protection hidden="1"/>
    </xf>
    <xf numFmtId="0" fontId="0" fillId="0" borderId="0" xfId="0" applyFont="1" applyBorder="1" applyAlignment="1" applyProtection="1">
      <alignment vertical="center"/>
      <protection hidden="1"/>
    </xf>
    <xf numFmtId="0" fontId="16" fillId="0" borderId="6" xfId="0" applyFont="1" applyBorder="1" applyProtection="1">
      <protection hidden="1"/>
    </xf>
    <xf numFmtId="0" fontId="0" fillId="0" borderId="3" xfId="0" applyFill="1" applyBorder="1" applyProtection="1">
      <protection hidden="1"/>
    </xf>
    <xf numFmtId="0" fontId="14" fillId="0" borderId="7" xfId="0" applyFont="1" applyFill="1" applyBorder="1" applyProtection="1">
      <protection hidden="1"/>
    </xf>
    <xf numFmtId="0" fontId="14" fillId="0" borderId="9" xfId="0" applyFont="1" applyFill="1" applyBorder="1" applyProtection="1">
      <protection hidden="1"/>
    </xf>
    <xf numFmtId="0" fontId="0" fillId="0" borderId="5" xfId="0" applyFill="1" applyBorder="1" applyProtection="1">
      <protection hidden="1"/>
    </xf>
    <xf numFmtId="0" fontId="0" fillId="0" borderId="0" xfId="0" applyFont="1" applyFill="1" applyBorder="1" applyProtection="1">
      <protection hidden="1"/>
    </xf>
    <xf numFmtId="0" fontId="17" fillId="0" borderId="0" xfId="0" applyFont="1" applyBorder="1" applyAlignment="1" applyProtection="1">
      <protection hidden="1"/>
    </xf>
    <xf numFmtId="0" fontId="0" fillId="0" borderId="11" xfId="0" applyBorder="1" applyProtection="1">
      <protection hidden="1"/>
    </xf>
    <xf numFmtId="0" fontId="35" fillId="0" borderId="0" xfId="0" applyFont="1" applyAlignment="1" applyProtection="1">
      <alignment wrapText="1"/>
      <protection hidden="1"/>
    </xf>
    <xf numFmtId="0" fontId="0" fillId="3" borderId="0" xfId="0" applyFill="1" applyBorder="1" applyAlignment="1" applyProtection="1">
      <alignment horizontal="center"/>
      <protection hidden="1"/>
    </xf>
    <xf numFmtId="0" fontId="0" fillId="0" borderId="0" xfId="0" applyProtection="1">
      <protection locked="0" hidden="1"/>
    </xf>
    <xf numFmtId="0" fontId="14" fillId="5" borderId="0" xfId="0" applyFont="1" applyFill="1" applyAlignment="1">
      <alignment vertical="center"/>
    </xf>
    <xf numFmtId="0" fontId="16" fillId="3" borderId="0" xfId="0" applyFont="1" applyFill="1" applyAlignment="1">
      <alignment horizontal="center" vertical="center"/>
    </xf>
    <xf numFmtId="0" fontId="9" fillId="0" borderId="0" xfId="0" applyFont="1"/>
    <xf numFmtId="0" fontId="19" fillId="0" borderId="0" xfId="0" applyFont="1"/>
    <xf numFmtId="0" fontId="19" fillId="0" borderId="0" xfId="0" applyFont="1" applyAlignment="1">
      <alignment vertical="center" wrapText="1"/>
    </xf>
    <xf numFmtId="0" fontId="16" fillId="0" borderId="0" xfId="0" applyFont="1" applyBorder="1" applyAlignment="1" applyProtection="1">
      <alignment horizontal="center"/>
      <protection hidden="1"/>
    </xf>
    <xf numFmtId="0" fontId="33" fillId="3" borderId="0" xfId="0" applyFont="1" applyFill="1" applyAlignment="1" applyProtection="1">
      <alignment horizontal="center" vertical="center"/>
      <protection hidden="1"/>
    </xf>
    <xf numFmtId="0" fontId="8" fillId="3" borderId="0" xfId="0" applyFont="1" applyFill="1" applyProtection="1">
      <protection hidden="1"/>
    </xf>
    <xf numFmtId="0" fontId="36" fillId="3" borderId="0" xfId="0" applyFont="1" applyFill="1" applyProtection="1">
      <protection hidden="1"/>
    </xf>
    <xf numFmtId="0" fontId="0" fillId="0" borderId="0" xfId="0" applyAlignment="1" applyProtection="1">
      <alignment horizontal="right"/>
      <protection hidden="1"/>
    </xf>
    <xf numFmtId="0" fontId="0" fillId="0" borderId="0" xfId="0" applyAlignment="1" applyProtection="1">
      <alignment horizontal="left" vertical="center"/>
      <protection hidden="1"/>
    </xf>
    <xf numFmtId="0" fontId="37" fillId="0" borderId="0" xfId="0" applyFont="1" applyProtection="1">
      <protection hidden="1"/>
    </xf>
    <xf numFmtId="0" fontId="38" fillId="0" borderId="0" xfId="0" applyFont="1" applyProtection="1">
      <protection hidden="1"/>
    </xf>
    <xf numFmtId="0" fontId="0" fillId="0" borderId="12" xfId="0" applyBorder="1" applyProtection="1">
      <protection hidden="1"/>
    </xf>
    <xf numFmtId="0" fontId="39" fillId="4" borderId="1" xfId="0" applyFont="1" applyFill="1" applyBorder="1" applyAlignment="1" applyProtection="1">
      <alignment vertical="center"/>
      <protection hidden="1"/>
    </xf>
    <xf numFmtId="0" fontId="37" fillId="3" borderId="0" xfId="0" applyFont="1" applyFill="1" applyProtection="1">
      <protection hidden="1"/>
    </xf>
    <xf numFmtId="0" fontId="16" fillId="6" borderId="0" xfId="0" applyFont="1" applyFill="1" applyAlignment="1">
      <alignment horizontal="center" vertical="center"/>
    </xf>
    <xf numFmtId="0" fontId="14" fillId="3" borderId="12" xfId="0" applyFont="1" applyFill="1" applyBorder="1" applyAlignment="1" applyProtection="1">
      <alignment horizontal="center" vertical="center" wrapText="1"/>
      <protection locked="0" hidden="1"/>
    </xf>
    <xf numFmtId="0" fontId="14" fillId="3" borderId="1" xfId="0" applyFont="1" applyFill="1" applyBorder="1" applyAlignment="1" applyProtection="1">
      <alignment horizontal="center" vertical="center" wrapText="1"/>
      <protection locked="0" hidden="1"/>
    </xf>
    <xf numFmtId="0" fontId="14" fillId="3" borderId="12" xfId="0" applyFont="1" applyFill="1" applyBorder="1" applyAlignment="1" applyProtection="1">
      <alignment horizontal="center" vertical="center" wrapText="1"/>
      <protection hidden="1"/>
    </xf>
    <xf numFmtId="0" fontId="14" fillId="3" borderId="1" xfId="0" applyFont="1" applyFill="1" applyBorder="1" applyAlignment="1" applyProtection="1">
      <alignment horizontal="center" vertical="center" wrapText="1"/>
      <protection hidden="1"/>
    </xf>
    <xf numFmtId="1" fontId="14" fillId="0" borderId="12" xfId="0" applyNumberFormat="1" applyFont="1" applyBorder="1" applyAlignment="1" applyProtection="1">
      <alignment horizontal="center" vertical="center"/>
      <protection locked="0" hidden="1"/>
    </xf>
    <xf numFmtId="1" fontId="14" fillId="0" borderId="1" xfId="0" applyNumberFormat="1" applyFont="1" applyBorder="1" applyAlignment="1" applyProtection="1">
      <alignment horizontal="center" vertical="center"/>
      <protection locked="0" hidden="1"/>
    </xf>
    <xf numFmtId="1" fontId="14" fillId="0" borderId="2" xfId="0" applyNumberFormat="1" applyFont="1" applyBorder="1" applyAlignment="1" applyProtection="1">
      <alignment horizontal="center" vertical="center"/>
      <protection locked="0" hidden="1"/>
    </xf>
    <xf numFmtId="0" fontId="14" fillId="3" borderId="2" xfId="0" applyFont="1" applyFill="1" applyBorder="1" applyAlignment="1" applyProtection="1">
      <alignment horizontal="center" vertical="center" wrapText="1"/>
      <protection locked="0" hidden="1"/>
    </xf>
    <xf numFmtId="0" fontId="16" fillId="4" borderId="12" xfId="0" applyFont="1" applyFill="1" applyBorder="1" applyAlignment="1" applyProtection="1">
      <alignment horizontal="center" vertical="center" wrapText="1"/>
      <protection hidden="1"/>
    </xf>
    <xf numFmtId="0" fontId="16" fillId="4" borderId="1" xfId="0" applyFont="1" applyFill="1" applyBorder="1" applyAlignment="1" applyProtection="1">
      <alignment horizontal="center" vertical="center" wrapText="1"/>
      <protection hidden="1"/>
    </xf>
    <xf numFmtId="0" fontId="24" fillId="0" borderId="6" xfId="0" applyFont="1" applyBorder="1" applyAlignment="1" applyProtection="1">
      <alignment horizontal="center" wrapText="1"/>
      <protection hidden="1"/>
    </xf>
    <xf numFmtId="0" fontId="24" fillId="0" borderId="3" xfId="0" applyFont="1" applyBorder="1" applyAlignment="1" applyProtection="1">
      <alignment horizontal="center" wrapText="1"/>
      <protection hidden="1"/>
    </xf>
    <xf numFmtId="0" fontId="24" fillId="0" borderId="4" xfId="0" applyFont="1" applyBorder="1" applyAlignment="1" applyProtection="1">
      <alignment horizontal="center" wrapText="1"/>
      <protection hidden="1"/>
    </xf>
    <xf numFmtId="0" fontId="24" fillId="0" borderId="7" xfId="0" applyFont="1" applyBorder="1" applyAlignment="1" applyProtection="1">
      <alignment horizontal="center" wrapText="1"/>
      <protection hidden="1"/>
    </xf>
    <xf numFmtId="0" fontId="24" fillId="0" borderId="0" xfId="0" applyFont="1" applyBorder="1" applyAlignment="1" applyProtection="1">
      <alignment horizontal="center" wrapText="1"/>
      <protection hidden="1"/>
    </xf>
    <xf numFmtId="0" fontId="24" fillId="0" borderId="8" xfId="0" applyFont="1" applyBorder="1" applyAlignment="1" applyProtection="1">
      <alignment horizontal="center" wrapText="1"/>
      <protection hidden="1"/>
    </xf>
    <xf numFmtId="0" fontId="24" fillId="0" borderId="9" xfId="0" applyFont="1" applyBorder="1" applyAlignment="1" applyProtection="1">
      <alignment horizontal="center" vertical="center" wrapText="1"/>
      <protection locked="0" hidden="1"/>
    </xf>
    <xf numFmtId="0" fontId="24" fillId="0" borderId="5" xfId="0" applyFont="1" applyBorder="1" applyAlignment="1" applyProtection="1">
      <alignment horizontal="center" vertical="center" wrapText="1"/>
      <protection locked="0" hidden="1"/>
    </xf>
    <xf numFmtId="0" fontId="24" fillId="0" borderId="10" xfId="0" applyFont="1" applyBorder="1" applyAlignment="1" applyProtection="1">
      <alignment horizontal="center" vertical="center" wrapText="1"/>
      <protection locked="0" hidden="1"/>
    </xf>
    <xf numFmtId="0" fontId="14" fillId="0" borderId="1" xfId="0" applyFont="1" applyBorder="1" applyAlignment="1" applyProtection="1">
      <alignment horizontal="center" vertical="center"/>
      <protection locked="0" hidden="1"/>
    </xf>
    <xf numFmtId="0" fontId="14" fillId="0" borderId="2" xfId="0" applyFont="1" applyBorder="1" applyAlignment="1" applyProtection="1">
      <alignment horizontal="center" vertical="center"/>
      <protection locked="0" hidden="1"/>
    </xf>
    <xf numFmtId="0" fontId="16" fillId="0" borderId="11" xfId="0" applyFont="1" applyBorder="1" applyAlignment="1" applyProtection="1">
      <alignment horizontal="center" vertical="center"/>
      <protection hidden="1"/>
    </xf>
    <xf numFmtId="0" fontId="14" fillId="0" borderId="12" xfId="0" applyFont="1" applyBorder="1" applyAlignment="1" applyProtection="1">
      <alignment horizontal="center" vertical="center"/>
      <protection locked="0" hidden="1"/>
    </xf>
    <xf numFmtId="165" fontId="16" fillId="0" borderId="12" xfId="0" applyNumberFormat="1" applyFont="1" applyBorder="1" applyAlignment="1" applyProtection="1">
      <alignment horizontal="center" vertical="center"/>
      <protection hidden="1"/>
    </xf>
    <xf numFmtId="165" fontId="16" fillId="0" borderId="1" xfId="0" applyNumberFormat="1" applyFont="1" applyBorder="1" applyAlignment="1" applyProtection="1">
      <alignment horizontal="center" vertical="center"/>
      <protection hidden="1"/>
    </xf>
    <xf numFmtId="165" fontId="16" fillId="0" borderId="2" xfId="0" applyNumberFormat="1" applyFont="1" applyBorder="1" applyAlignment="1" applyProtection="1">
      <alignment horizontal="center" vertical="center"/>
      <protection hidden="1"/>
    </xf>
    <xf numFmtId="0" fontId="16" fillId="0" borderId="0" xfId="0" applyFont="1" applyFill="1" applyBorder="1" applyAlignment="1" applyProtection="1">
      <alignment horizontal="left" vertical="center"/>
      <protection hidden="1"/>
    </xf>
    <xf numFmtId="0" fontId="16" fillId="0" borderId="0" xfId="0" applyFont="1" applyAlignment="1" applyProtection="1">
      <alignment horizontal="left" vertical="center"/>
      <protection hidden="1"/>
    </xf>
    <xf numFmtId="0" fontId="16" fillId="0" borderId="11" xfId="0" applyFont="1" applyBorder="1" applyAlignment="1" applyProtection="1">
      <alignment horizontal="left"/>
      <protection hidden="1"/>
    </xf>
    <xf numFmtId="165" fontId="35" fillId="0" borderId="12" xfId="0" applyNumberFormat="1" applyFont="1" applyBorder="1" applyAlignment="1" applyProtection="1">
      <alignment horizontal="center" vertical="center"/>
      <protection locked="0" hidden="1"/>
    </xf>
    <xf numFmtId="165" fontId="35" fillId="0" borderId="1" xfId="0" applyNumberFormat="1" applyFont="1" applyBorder="1" applyAlignment="1" applyProtection="1">
      <alignment horizontal="center" vertical="center"/>
      <protection locked="0" hidden="1"/>
    </xf>
    <xf numFmtId="165" fontId="35" fillId="0" borderId="2" xfId="0" applyNumberFormat="1" applyFont="1" applyBorder="1" applyAlignment="1" applyProtection="1">
      <alignment horizontal="center" vertical="center"/>
      <protection locked="0" hidden="1"/>
    </xf>
    <xf numFmtId="0" fontId="0" fillId="0" borderId="1" xfId="0" applyBorder="1" applyAlignment="1" applyProtection="1">
      <alignment horizontal="center"/>
      <protection hidden="1"/>
    </xf>
    <xf numFmtId="0" fontId="0" fillId="0" borderId="3" xfId="0" applyBorder="1" applyAlignment="1" applyProtection="1">
      <alignment horizontal="center"/>
      <protection hidden="1"/>
    </xf>
    <xf numFmtId="0" fontId="0" fillId="0" borderId="12" xfId="0" applyBorder="1" applyAlignment="1" applyProtection="1">
      <alignment horizontal="left" vertical="center" wrapText="1"/>
      <protection locked="0" hidden="1"/>
    </xf>
    <xf numFmtId="0" fontId="0" fillId="0" borderId="1" xfId="0" applyFont="1" applyBorder="1" applyAlignment="1" applyProtection="1">
      <alignment horizontal="left" vertical="center" wrapText="1"/>
      <protection locked="0" hidden="1"/>
    </xf>
    <xf numFmtId="0" fontId="0" fillId="0" borderId="2" xfId="0" applyFont="1" applyBorder="1" applyAlignment="1" applyProtection="1">
      <alignment horizontal="left" vertical="center" wrapText="1"/>
      <protection locked="0" hidden="1"/>
    </xf>
    <xf numFmtId="0" fontId="16" fillId="0" borderId="6" xfId="0" applyFont="1" applyBorder="1" applyAlignment="1" applyProtection="1">
      <alignment horizontal="left"/>
      <protection hidden="1"/>
    </xf>
    <xf numFmtId="0" fontId="16" fillId="0" borderId="3" xfId="0" applyFont="1" applyBorder="1" applyAlignment="1" applyProtection="1">
      <alignment horizontal="left"/>
      <protection hidden="1"/>
    </xf>
    <xf numFmtId="0" fontId="16" fillId="0" borderId="4" xfId="0" applyFont="1" applyBorder="1" applyAlignment="1" applyProtection="1">
      <alignment horizontal="left"/>
      <protection hidden="1"/>
    </xf>
    <xf numFmtId="0" fontId="41" fillId="0" borderId="0" xfId="0" applyFont="1" applyBorder="1" applyAlignment="1" applyProtection="1">
      <alignment horizontal="left" wrapText="1"/>
      <protection hidden="1"/>
    </xf>
    <xf numFmtId="0" fontId="41" fillId="0" borderId="0" xfId="0" applyFont="1" applyBorder="1" applyAlignment="1" applyProtection="1">
      <alignment horizontal="left"/>
      <protection hidden="1"/>
    </xf>
    <xf numFmtId="0" fontId="14" fillId="0" borderId="9" xfId="0" applyFont="1" applyBorder="1" applyAlignment="1" applyProtection="1">
      <alignment horizontal="justify" vertical="center" wrapText="1"/>
      <protection hidden="1"/>
    </xf>
    <xf numFmtId="0" fontId="14" fillId="0" borderId="5" xfId="0" applyFont="1" applyBorder="1" applyAlignment="1" applyProtection="1">
      <alignment horizontal="justify" vertical="center" wrapText="1"/>
      <protection hidden="1"/>
    </xf>
    <xf numFmtId="0" fontId="14" fillId="0" borderId="10" xfId="0" applyFont="1" applyBorder="1" applyAlignment="1" applyProtection="1">
      <alignment horizontal="justify" vertical="center" wrapText="1"/>
      <protection hidden="1"/>
    </xf>
    <xf numFmtId="0" fontId="14" fillId="0" borderId="5" xfId="0" applyFont="1" applyBorder="1" applyAlignment="1" applyProtection="1">
      <alignment horizontal="center" vertical="center"/>
      <protection hidden="1"/>
    </xf>
    <xf numFmtId="0" fontId="0" fillId="3" borderId="11" xfId="0" applyFill="1" applyBorder="1" applyAlignment="1" applyProtection="1">
      <alignment horizontal="left" vertical="center"/>
      <protection hidden="1"/>
    </xf>
    <xf numFmtId="0" fontId="0" fillId="0" borderId="11" xfId="0" applyBorder="1" applyAlignment="1" applyProtection="1">
      <alignment horizontal="center"/>
      <protection locked="0" hidden="1"/>
    </xf>
    <xf numFmtId="0" fontId="0" fillId="0" borderId="12" xfId="0" applyBorder="1" applyAlignment="1" applyProtection="1">
      <alignment horizontal="center"/>
      <protection locked="0" hidden="1"/>
    </xf>
    <xf numFmtId="0" fontId="14" fillId="0" borderId="7" xfId="0" applyFont="1" applyBorder="1" applyAlignment="1" applyProtection="1">
      <alignment horizontal="justify" vertical="center" wrapText="1"/>
      <protection hidden="1"/>
    </xf>
    <xf numFmtId="0" fontId="14" fillId="0" borderId="0" xfId="0" applyFont="1" applyBorder="1" applyAlignment="1" applyProtection="1">
      <alignment horizontal="justify" vertical="center" wrapText="1"/>
      <protection hidden="1"/>
    </xf>
    <xf numFmtId="0" fontId="14" fillId="0" borderId="8" xfId="0" applyFont="1" applyBorder="1" applyAlignment="1" applyProtection="1">
      <alignment horizontal="justify" vertical="center" wrapText="1"/>
      <protection hidden="1"/>
    </xf>
    <xf numFmtId="49" fontId="0" fillId="0" borderId="12" xfId="0" applyNumberFormat="1" applyBorder="1" applyAlignment="1" applyProtection="1">
      <alignment horizontal="left" vertical="center"/>
      <protection locked="0" hidden="1"/>
    </xf>
    <xf numFmtId="49" fontId="0" fillId="0" borderId="1" xfId="0" applyNumberFormat="1" applyBorder="1" applyAlignment="1" applyProtection="1">
      <alignment horizontal="left" vertical="center"/>
      <protection locked="0" hidden="1"/>
    </xf>
    <xf numFmtId="49" fontId="0" fillId="0" borderId="2" xfId="0" applyNumberFormat="1" applyBorder="1" applyAlignment="1" applyProtection="1">
      <alignment horizontal="left" vertical="center"/>
      <protection locked="0" hidden="1"/>
    </xf>
    <xf numFmtId="0" fontId="0" fillId="0" borderId="12" xfId="0" applyBorder="1" applyAlignment="1" applyProtection="1">
      <alignment horizontal="left" vertical="center"/>
      <protection locked="0" hidden="1"/>
    </xf>
    <xf numFmtId="0" fontId="0" fillId="0" borderId="1" xfId="0" applyBorder="1" applyAlignment="1" applyProtection="1">
      <alignment horizontal="left" vertical="center"/>
      <protection locked="0" hidden="1"/>
    </xf>
    <xf numFmtId="0" fontId="0" fillId="0" borderId="2" xfId="0" applyBorder="1" applyAlignment="1" applyProtection="1">
      <alignment horizontal="left" vertical="center"/>
      <protection locked="0" hidden="1"/>
    </xf>
    <xf numFmtId="49" fontId="0" fillId="0" borderId="9" xfId="0" applyNumberFormat="1" applyBorder="1" applyAlignment="1" applyProtection="1">
      <alignment horizontal="center" vertical="center"/>
      <protection locked="0" hidden="1"/>
    </xf>
    <xf numFmtId="49" fontId="0" fillId="0" borderId="5" xfId="0" applyNumberFormat="1" applyBorder="1" applyAlignment="1" applyProtection="1">
      <alignment horizontal="center" vertical="center"/>
      <protection locked="0" hidden="1"/>
    </xf>
    <xf numFmtId="49" fontId="0" fillId="0" borderId="10" xfId="0" applyNumberFormat="1" applyBorder="1" applyAlignment="1" applyProtection="1">
      <alignment horizontal="center" vertical="center"/>
      <protection locked="0" hidden="1"/>
    </xf>
    <xf numFmtId="0" fontId="0" fillId="0" borderId="9" xfId="0"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0" fillId="0" borderId="10" xfId="0" applyBorder="1" applyAlignment="1" applyProtection="1">
      <alignment horizontal="center" vertical="center"/>
      <protection hidden="1"/>
    </xf>
    <xf numFmtId="0" fontId="0" fillId="0" borderId="9" xfId="0" applyBorder="1" applyAlignment="1" applyProtection="1">
      <alignment horizontal="left" vertical="center"/>
      <protection hidden="1"/>
    </xf>
    <xf numFmtId="0" fontId="0" fillId="0" borderId="5" xfId="0" applyBorder="1" applyAlignment="1" applyProtection="1">
      <alignment horizontal="left" vertical="center"/>
      <protection hidden="1"/>
    </xf>
    <xf numFmtId="0" fontId="0" fillId="0" borderId="10" xfId="0" applyBorder="1" applyAlignment="1" applyProtection="1">
      <alignment horizontal="left" vertical="center"/>
      <protection hidden="1"/>
    </xf>
    <xf numFmtId="0" fontId="16" fillId="4" borderId="2" xfId="0" applyFont="1" applyFill="1" applyBorder="1" applyAlignment="1" applyProtection="1">
      <alignment horizontal="center" vertical="center" wrapText="1"/>
      <protection hidden="1"/>
    </xf>
    <xf numFmtId="0" fontId="14" fillId="0" borderId="12" xfId="0" applyFont="1" applyBorder="1" applyAlignment="1" applyProtection="1">
      <alignment horizontal="left" vertical="center"/>
      <protection locked="0" hidden="1"/>
    </xf>
    <xf numFmtId="0" fontId="14" fillId="0" borderId="1" xfId="0" applyFont="1" applyBorder="1" applyAlignment="1" applyProtection="1">
      <alignment horizontal="left" vertical="center"/>
      <protection locked="0" hidden="1"/>
    </xf>
    <xf numFmtId="0" fontId="14" fillId="0" borderId="2" xfId="0" applyFont="1" applyBorder="1" applyAlignment="1" applyProtection="1">
      <alignment horizontal="left" vertical="center"/>
      <protection locked="0" hidden="1"/>
    </xf>
    <xf numFmtId="0" fontId="14" fillId="0" borderId="12" xfId="0" applyFont="1" applyBorder="1" applyAlignment="1" applyProtection="1">
      <alignment horizontal="left" vertical="center" wrapText="1"/>
      <protection locked="0" hidden="1"/>
    </xf>
    <xf numFmtId="0" fontId="14" fillId="0" borderId="1" xfId="0" applyFont="1" applyBorder="1" applyAlignment="1" applyProtection="1">
      <alignment horizontal="left" vertical="center" wrapText="1"/>
      <protection locked="0" hidden="1"/>
    </xf>
    <xf numFmtId="0" fontId="14" fillId="0" borderId="2" xfId="0" applyFont="1" applyBorder="1" applyAlignment="1" applyProtection="1">
      <alignment horizontal="left" vertical="center" wrapText="1"/>
      <protection locked="0" hidden="1"/>
    </xf>
    <xf numFmtId="0" fontId="14" fillId="3" borderId="2" xfId="0" applyFont="1" applyFill="1" applyBorder="1" applyAlignment="1" applyProtection="1">
      <alignment horizontal="center" vertical="center" wrapText="1"/>
      <protection hidden="1"/>
    </xf>
    <xf numFmtId="0" fontId="16" fillId="0" borderId="12" xfId="0" applyFont="1" applyFill="1" applyBorder="1" applyAlignment="1" applyProtection="1">
      <alignment horizontal="left" vertical="center" wrapText="1"/>
      <protection hidden="1"/>
    </xf>
    <xf numFmtId="0" fontId="16" fillId="0" borderId="1" xfId="0" applyFont="1" applyFill="1" applyBorder="1" applyAlignment="1" applyProtection="1">
      <alignment horizontal="left" vertical="center" wrapText="1"/>
      <protection hidden="1"/>
    </xf>
    <xf numFmtId="0" fontId="14" fillId="0" borderId="12" xfId="0" applyFont="1" applyFill="1" applyBorder="1" applyAlignment="1" applyProtection="1">
      <alignment horizontal="left" vertical="center"/>
      <protection locked="0" hidden="1"/>
    </xf>
    <xf numFmtId="0" fontId="14" fillId="0" borderId="1" xfId="0" applyFont="1" applyFill="1" applyBorder="1" applyAlignment="1" applyProtection="1">
      <alignment horizontal="left" vertical="center"/>
      <protection locked="0" hidden="1"/>
    </xf>
    <xf numFmtId="0" fontId="14" fillId="0" borderId="2" xfId="0" applyFont="1" applyFill="1" applyBorder="1" applyAlignment="1" applyProtection="1">
      <alignment horizontal="left" vertical="center"/>
      <protection locked="0" hidden="1"/>
    </xf>
    <xf numFmtId="0" fontId="9" fillId="4" borderId="12" xfId="0" applyFont="1" applyFill="1" applyBorder="1" applyAlignment="1" applyProtection="1">
      <alignment horizontal="left" vertical="center"/>
      <protection hidden="1"/>
    </xf>
    <xf numFmtId="0" fontId="9" fillId="4" borderId="1" xfId="0" applyFont="1" applyFill="1" applyBorder="1" applyAlignment="1" applyProtection="1">
      <alignment horizontal="left" vertical="center"/>
      <protection hidden="1"/>
    </xf>
    <xf numFmtId="0" fontId="16" fillId="4" borderId="12" xfId="0" applyFont="1" applyFill="1" applyBorder="1" applyAlignment="1" applyProtection="1">
      <alignment horizontal="center"/>
      <protection hidden="1"/>
    </xf>
    <xf numFmtId="0" fontId="16" fillId="4" borderId="2" xfId="0" applyFont="1" applyFill="1" applyBorder="1" applyAlignment="1" applyProtection="1">
      <alignment horizontal="center"/>
      <protection hidden="1"/>
    </xf>
    <xf numFmtId="0" fontId="16" fillId="4" borderId="1" xfId="0" applyFont="1" applyFill="1" applyBorder="1" applyAlignment="1" applyProtection="1">
      <alignment horizontal="center"/>
      <protection hidden="1"/>
    </xf>
    <xf numFmtId="0" fontId="14" fillId="0" borderId="12" xfId="0" applyFont="1" applyBorder="1" applyAlignment="1" applyProtection="1">
      <alignment horizontal="center" vertical="center" wrapText="1"/>
      <protection locked="0" hidden="1"/>
    </xf>
    <xf numFmtId="0" fontId="14" fillId="0" borderId="1" xfId="0" applyFont="1" applyBorder="1" applyAlignment="1" applyProtection="1">
      <alignment horizontal="center" vertical="center" wrapText="1"/>
      <protection locked="0" hidden="1"/>
    </xf>
    <xf numFmtId="0" fontId="14" fillId="0" borderId="2" xfId="0" applyFont="1" applyBorder="1" applyAlignment="1" applyProtection="1">
      <alignment horizontal="center" vertical="center" wrapText="1"/>
      <protection locked="0" hidden="1"/>
    </xf>
    <xf numFmtId="0" fontId="16" fillId="4" borderId="12" xfId="0" applyFont="1" applyFill="1" applyBorder="1" applyAlignment="1" applyProtection="1">
      <alignment horizontal="left" vertical="center"/>
      <protection hidden="1"/>
    </xf>
    <xf numFmtId="0" fontId="16" fillId="4" borderId="1" xfId="0" applyFont="1" applyFill="1" applyBorder="1" applyAlignment="1" applyProtection="1">
      <alignment horizontal="left" vertical="center"/>
      <protection hidden="1"/>
    </xf>
    <xf numFmtId="0" fontId="16" fillId="4" borderId="2" xfId="0" applyFont="1" applyFill="1" applyBorder="1" applyAlignment="1" applyProtection="1">
      <alignment horizontal="left" vertical="center"/>
      <protection hidden="1"/>
    </xf>
    <xf numFmtId="0" fontId="14" fillId="0" borderId="11" xfId="0" applyFont="1" applyBorder="1" applyAlignment="1" applyProtection="1">
      <alignment horizontal="left" vertical="center"/>
      <protection locked="0" hidden="1"/>
    </xf>
    <xf numFmtId="0" fontId="14" fillId="0" borderId="12" xfId="0" applyFont="1" applyBorder="1" applyAlignment="1" applyProtection="1">
      <alignment horizontal="center" vertical="center"/>
      <protection hidden="1"/>
    </xf>
    <xf numFmtId="0" fontId="14" fillId="0" borderId="2" xfId="0" applyFont="1" applyBorder="1" applyAlignment="1" applyProtection="1">
      <alignment horizontal="center" vertical="center"/>
      <protection hidden="1"/>
    </xf>
    <xf numFmtId="0" fontId="14" fillId="0" borderId="6" xfId="0" applyFont="1" applyBorder="1" applyAlignment="1" applyProtection="1">
      <alignment horizontal="left" vertical="center"/>
      <protection locked="0" hidden="1"/>
    </xf>
    <xf numFmtId="0" fontId="14" fillId="0" borderId="3" xfId="0" applyFont="1" applyBorder="1" applyAlignment="1" applyProtection="1">
      <alignment horizontal="left" vertical="center"/>
      <protection locked="0" hidden="1"/>
    </xf>
    <xf numFmtId="0" fontId="14" fillId="0" borderId="4" xfId="0" applyFont="1" applyBorder="1" applyAlignment="1" applyProtection="1">
      <alignment horizontal="left" vertical="center"/>
      <protection locked="0" hidden="1"/>
    </xf>
    <xf numFmtId="165" fontId="14" fillId="0" borderId="12" xfId="0" applyNumberFormat="1" applyFont="1" applyBorder="1" applyAlignment="1" applyProtection="1">
      <alignment horizontal="left" vertical="center"/>
      <protection locked="0" hidden="1"/>
    </xf>
    <xf numFmtId="165" fontId="14" fillId="0" borderId="1" xfId="0" applyNumberFormat="1" applyFont="1" applyBorder="1" applyAlignment="1" applyProtection="1">
      <alignment horizontal="left" vertical="center"/>
      <protection locked="0" hidden="1"/>
    </xf>
    <xf numFmtId="165" fontId="14" fillId="0" borderId="2" xfId="0" applyNumberFormat="1" applyFont="1" applyBorder="1" applyAlignment="1" applyProtection="1">
      <alignment horizontal="left" vertical="center"/>
      <protection locked="0" hidden="1"/>
    </xf>
    <xf numFmtId="166" fontId="14" fillId="0" borderId="0" xfId="0" applyNumberFormat="1" applyFont="1" applyBorder="1" applyAlignment="1" applyProtection="1">
      <alignment horizontal="center"/>
      <protection hidden="1"/>
    </xf>
    <xf numFmtId="0" fontId="14" fillId="0" borderId="12" xfId="0" applyFont="1" applyFill="1" applyBorder="1" applyAlignment="1" applyProtection="1">
      <alignment horizontal="left" vertical="center" wrapText="1"/>
      <protection locked="0" hidden="1"/>
    </xf>
    <xf numFmtId="0" fontId="14" fillId="0" borderId="1" xfId="0" applyFont="1" applyFill="1" applyBorder="1" applyAlignment="1" applyProtection="1">
      <alignment horizontal="left" vertical="center" wrapText="1"/>
      <protection locked="0" hidden="1"/>
    </xf>
    <xf numFmtId="0" fontId="14" fillId="0" borderId="2" xfId="0" applyFont="1" applyFill="1" applyBorder="1" applyAlignment="1" applyProtection="1">
      <alignment horizontal="left" vertical="center" wrapText="1"/>
      <protection locked="0" hidden="1"/>
    </xf>
    <xf numFmtId="165" fontId="14" fillId="0" borderId="12" xfId="0" applyNumberFormat="1" applyFont="1" applyFill="1" applyBorder="1" applyAlignment="1" applyProtection="1">
      <alignment horizontal="left" vertical="center"/>
      <protection locked="0" hidden="1"/>
    </xf>
    <xf numFmtId="165" fontId="14" fillId="0" borderId="1" xfId="0" applyNumberFormat="1" applyFont="1" applyFill="1" applyBorder="1" applyAlignment="1" applyProtection="1">
      <alignment horizontal="left" vertical="center"/>
      <protection locked="0" hidden="1"/>
    </xf>
    <xf numFmtId="165" fontId="14" fillId="0" borderId="2" xfId="0" applyNumberFormat="1" applyFont="1" applyFill="1" applyBorder="1" applyAlignment="1" applyProtection="1">
      <alignment horizontal="left" vertical="center"/>
      <protection locked="0" hidden="1"/>
    </xf>
    <xf numFmtId="0" fontId="16" fillId="0" borderId="12" xfId="0" applyFont="1" applyFill="1" applyBorder="1" applyAlignment="1" applyProtection="1">
      <alignment horizontal="left" vertical="center"/>
      <protection hidden="1"/>
    </xf>
    <xf numFmtId="0" fontId="16" fillId="0" borderId="1" xfId="0" applyFont="1" applyFill="1" applyBorder="1" applyAlignment="1" applyProtection="1">
      <alignment horizontal="left" vertical="center"/>
      <protection hidden="1"/>
    </xf>
    <xf numFmtId="0" fontId="16" fillId="0" borderId="2" xfId="0" applyFont="1" applyFill="1" applyBorder="1" applyAlignment="1" applyProtection="1">
      <alignment horizontal="left" vertical="center"/>
      <protection hidden="1"/>
    </xf>
    <xf numFmtId="0" fontId="16" fillId="0" borderId="2" xfId="0" applyFont="1" applyFill="1" applyBorder="1" applyAlignment="1" applyProtection="1">
      <alignment horizontal="left" vertical="center" wrapText="1"/>
      <protection hidden="1"/>
    </xf>
    <xf numFmtId="0" fontId="16" fillId="4" borderId="12" xfId="0" applyFont="1" applyFill="1" applyBorder="1" applyAlignment="1" applyProtection="1">
      <alignment horizontal="center" vertical="center"/>
      <protection hidden="1"/>
    </xf>
    <xf numFmtId="0" fontId="16" fillId="4" borderId="1" xfId="0" applyFont="1" applyFill="1" applyBorder="1" applyAlignment="1" applyProtection="1">
      <alignment horizontal="center" vertical="center"/>
      <protection hidden="1"/>
    </xf>
    <xf numFmtId="0" fontId="16" fillId="4" borderId="2" xfId="0" applyFont="1" applyFill="1" applyBorder="1" applyAlignment="1" applyProtection="1">
      <alignment horizontal="center" vertical="center"/>
      <protection hidden="1"/>
    </xf>
    <xf numFmtId="0" fontId="23" fillId="0" borderId="1" xfId="0" applyFont="1" applyBorder="1" applyAlignment="1" applyProtection="1">
      <alignment horizontal="center" vertical="center"/>
      <protection locked="0" hidden="1"/>
    </xf>
    <xf numFmtId="0" fontId="23" fillId="0" borderId="2" xfId="0" applyFont="1" applyBorder="1" applyAlignment="1" applyProtection="1">
      <alignment horizontal="center" vertical="center"/>
      <protection locked="0" hidden="1"/>
    </xf>
    <xf numFmtId="0" fontId="14" fillId="0" borderId="6" xfId="0" applyFont="1" applyBorder="1" applyAlignment="1" applyProtection="1">
      <alignment horizontal="left" vertical="center" wrapText="1"/>
      <protection locked="0" hidden="1"/>
    </xf>
    <xf numFmtId="0" fontId="14" fillId="0" borderId="3" xfId="0" applyFont="1" applyBorder="1" applyAlignment="1" applyProtection="1">
      <alignment horizontal="left" vertical="center" wrapText="1"/>
      <protection locked="0" hidden="1"/>
    </xf>
    <xf numFmtId="0" fontId="14" fillId="0" borderId="4" xfId="0" applyFont="1" applyBorder="1" applyAlignment="1" applyProtection="1">
      <alignment horizontal="left" vertical="center" wrapText="1"/>
      <protection locked="0" hidden="1"/>
    </xf>
    <xf numFmtId="0" fontId="25" fillId="0" borderId="12" xfId="0" applyFont="1" applyBorder="1" applyAlignment="1" applyProtection="1">
      <alignment horizontal="left"/>
      <protection hidden="1"/>
    </xf>
    <xf numFmtId="0" fontId="25" fillId="0" borderId="1" xfId="0" applyFont="1" applyBorder="1" applyAlignment="1" applyProtection="1">
      <alignment horizontal="left"/>
      <protection hidden="1"/>
    </xf>
    <xf numFmtId="0" fontId="25" fillId="0" borderId="2" xfId="0" applyFont="1" applyBorder="1" applyAlignment="1" applyProtection="1">
      <alignment horizontal="left"/>
      <protection hidden="1"/>
    </xf>
    <xf numFmtId="0" fontId="14" fillId="0" borderId="6" xfId="0" applyFont="1" applyBorder="1" applyAlignment="1" applyProtection="1">
      <alignment horizontal="justify" vertical="center" wrapText="1"/>
      <protection hidden="1"/>
    </xf>
    <xf numFmtId="0" fontId="14" fillId="0" borderId="3" xfId="0" applyFont="1" applyBorder="1" applyAlignment="1" applyProtection="1">
      <alignment horizontal="justify" vertical="center" wrapText="1"/>
      <protection hidden="1"/>
    </xf>
    <xf numFmtId="0" fontId="14" fillId="0" borderId="4" xfId="0" applyFont="1" applyBorder="1" applyAlignment="1" applyProtection="1">
      <alignment horizontal="justify" vertical="center" wrapText="1"/>
      <protection hidden="1"/>
    </xf>
    <xf numFmtId="0" fontId="14" fillId="0" borderId="12" xfId="0" applyFont="1" applyBorder="1" applyAlignment="1" applyProtection="1">
      <alignment horizontal="center"/>
      <protection locked="0" hidden="1"/>
    </xf>
    <xf numFmtId="0" fontId="14" fillId="0" borderId="1" xfId="0" applyFont="1" applyBorder="1" applyAlignment="1" applyProtection="1">
      <alignment horizontal="center"/>
      <protection locked="0" hidden="1"/>
    </xf>
    <xf numFmtId="0" fontId="14" fillId="0" borderId="2" xfId="0" applyFont="1" applyBorder="1" applyAlignment="1" applyProtection="1">
      <alignment horizontal="center"/>
      <protection locked="0" hidden="1"/>
    </xf>
    <xf numFmtId="0" fontId="16" fillId="0" borderId="0" xfId="0" applyFont="1" applyAlignment="1" applyProtection="1">
      <alignment horizontal="left"/>
      <protection hidden="1"/>
    </xf>
    <xf numFmtId="0" fontId="16" fillId="0" borderId="8" xfId="0" applyFont="1" applyBorder="1" applyAlignment="1" applyProtection="1">
      <alignment horizontal="left"/>
      <protection hidden="1"/>
    </xf>
    <xf numFmtId="9" fontId="14" fillId="0" borderId="12" xfId="1" applyFont="1" applyBorder="1" applyAlignment="1" applyProtection="1">
      <alignment horizontal="center" vertical="center"/>
      <protection locked="0" hidden="1"/>
    </xf>
    <xf numFmtId="9" fontId="14" fillId="0" borderId="1" xfId="1" applyFont="1" applyBorder="1" applyAlignment="1" applyProtection="1">
      <alignment horizontal="center" vertical="center"/>
      <protection locked="0" hidden="1"/>
    </xf>
    <xf numFmtId="9" fontId="14" fillId="0" borderId="2" xfId="1" applyFont="1" applyBorder="1" applyAlignment="1" applyProtection="1">
      <alignment horizontal="center" vertical="center"/>
      <protection locked="0" hidden="1"/>
    </xf>
    <xf numFmtId="0" fontId="14" fillId="0" borderId="12" xfId="0" applyFont="1" applyFill="1" applyBorder="1" applyAlignment="1" applyProtection="1">
      <alignment horizontal="center" vertical="center"/>
      <protection hidden="1"/>
    </xf>
    <xf numFmtId="0" fontId="14" fillId="0" borderId="2" xfId="0" applyFont="1" applyFill="1" applyBorder="1" applyAlignment="1" applyProtection="1">
      <alignment horizontal="center" vertical="center"/>
      <protection hidden="1"/>
    </xf>
    <xf numFmtId="0" fontId="16" fillId="4" borderId="12" xfId="0" applyFont="1" applyFill="1" applyBorder="1" applyAlignment="1" applyProtection="1">
      <alignment horizontal="left" vertical="center" wrapText="1"/>
      <protection hidden="1"/>
    </xf>
    <xf numFmtId="0" fontId="16" fillId="4" borderId="1" xfId="0" applyFont="1" applyFill="1" applyBorder="1" applyAlignment="1" applyProtection="1">
      <alignment horizontal="left" vertical="center" wrapText="1"/>
      <protection hidden="1"/>
    </xf>
    <xf numFmtId="0" fontId="16" fillId="4" borderId="2" xfId="0" applyFont="1" applyFill="1" applyBorder="1" applyAlignment="1" applyProtection="1">
      <alignment horizontal="left" vertical="center" wrapText="1"/>
      <protection hidden="1"/>
    </xf>
    <xf numFmtId="0" fontId="23" fillId="0" borderId="12" xfId="0" applyFont="1" applyBorder="1" applyAlignment="1" applyProtection="1">
      <alignment horizontal="center" vertical="center"/>
      <protection locked="0" hidden="1"/>
    </xf>
    <xf numFmtId="0" fontId="16" fillId="0" borderId="12" xfId="0" applyFont="1" applyFill="1" applyBorder="1" applyAlignment="1" applyProtection="1">
      <alignment horizontal="center" vertical="center"/>
      <protection hidden="1"/>
    </xf>
    <xf numFmtId="0" fontId="16" fillId="0" borderId="1" xfId="0" applyFont="1" applyFill="1" applyBorder="1" applyAlignment="1" applyProtection="1">
      <alignment horizontal="center" vertical="center"/>
      <protection hidden="1"/>
    </xf>
    <xf numFmtId="0" fontId="40" fillId="4" borderId="12" xfId="0" applyFont="1" applyFill="1" applyBorder="1" applyAlignment="1" applyProtection="1">
      <alignment horizontal="center" vertical="center" wrapText="1"/>
      <protection hidden="1"/>
    </xf>
    <xf numFmtId="0" fontId="40" fillId="4" borderId="1" xfId="0" applyFont="1" applyFill="1" applyBorder="1" applyAlignment="1" applyProtection="1">
      <alignment horizontal="center" vertical="center" wrapText="1"/>
      <protection hidden="1"/>
    </xf>
    <xf numFmtId="0" fontId="40" fillId="4" borderId="2" xfId="0" applyFont="1" applyFill="1" applyBorder="1" applyAlignment="1" applyProtection="1">
      <alignment horizontal="center" vertical="center" wrapText="1"/>
      <protection hidden="1"/>
    </xf>
    <xf numFmtId="0" fontId="14" fillId="0" borderId="1" xfId="0" applyFont="1" applyBorder="1" applyAlignment="1" applyProtection="1">
      <alignment horizontal="center" vertical="center"/>
      <protection hidden="1"/>
    </xf>
    <xf numFmtId="0" fontId="16" fillId="0" borderId="0" xfId="0" applyFont="1" applyBorder="1" applyAlignment="1" applyProtection="1">
      <alignment horizontal="left" vertical="center"/>
      <protection hidden="1"/>
    </xf>
    <xf numFmtId="0" fontId="16" fillId="0" borderId="8" xfId="0" applyFont="1" applyBorder="1" applyAlignment="1" applyProtection="1">
      <alignment horizontal="left" vertical="center"/>
      <protection hidden="1"/>
    </xf>
    <xf numFmtId="49" fontId="14" fillId="0" borderId="12" xfId="0" applyNumberFormat="1" applyFont="1" applyBorder="1" applyAlignment="1" applyProtection="1">
      <alignment horizontal="center" vertical="center"/>
      <protection locked="0" hidden="1"/>
    </xf>
    <xf numFmtId="49" fontId="14" fillId="0" borderId="1" xfId="0" applyNumberFormat="1" applyFont="1" applyBorder="1" applyAlignment="1" applyProtection="1">
      <alignment horizontal="center" vertical="center"/>
      <protection locked="0" hidden="1"/>
    </xf>
    <xf numFmtId="49" fontId="14" fillId="0" borderId="2" xfId="0" applyNumberFormat="1" applyFont="1" applyBorder="1" applyAlignment="1" applyProtection="1">
      <alignment horizontal="center" vertical="center"/>
      <protection locked="0" hidden="1"/>
    </xf>
    <xf numFmtId="0" fontId="40" fillId="0" borderId="0" xfId="0" applyFont="1" applyBorder="1" applyAlignment="1" applyProtection="1">
      <alignment horizontal="left" vertical="center"/>
      <protection hidden="1"/>
    </xf>
    <xf numFmtId="49" fontId="14" fillId="0" borderId="11" xfId="0" applyNumberFormat="1" applyFont="1" applyBorder="1" applyAlignment="1" applyProtection="1">
      <alignment horizontal="center" vertical="center"/>
      <protection locked="0" hidden="1"/>
    </xf>
    <xf numFmtId="0" fontId="2" fillId="0" borderId="0" xfId="0" applyFont="1" applyBorder="1" applyAlignment="1" applyProtection="1">
      <alignment horizontal="left" wrapText="1"/>
      <protection hidden="1"/>
    </xf>
    <xf numFmtId="0" fontId="37" fillId="0" borderId="12" xfId="0" applyFont="1" applyBorder="1" applyAlignment="1" applyProtection="1">
      <alignment horizontal="center" vertical="center"/>
      <protection locked="0" hidden="1"/>
    </xf>
    <xf numFmtId="0" fontId="37" fillId="0" borderId="1" xfId="0" applyFont="1" applyBorder="1" applyAlignment="1" applyProtection="1">
      <alignment horizontal="center" vertical="center"/>
      <protection locked="0" hidden="1"/>
    </xf>
    <xf numFmtId="0" fontId="37" fillId="0" borderId="2" xfId="0" applyFont="1" applyBorder="1" applyAlignment="1" applyProtection="1">
      <alignment horizontal="center" vertical="center"/>
      <protection locked="0" hidden="1"/>
    </xf>
    <xf numFmtId="0" fontId="14" fillId="0" borderId="9" xfId="0" applyFont="1" applyFill="1" applyBorder="1" applyAlignment="1" applyProtection="1">
      <alignment horizontal="left" vertical="top" wrapText="1" indent="1"/>
      <protection locked="0" hidden="1"/>
    </xf>
    <xf numFmtId="0" fontId="14" fillId="0" borderId="5" xfId="0" applyFont="1" applyFill="1" applyBorder="1" applyAlignment="1" applyProtection="1">
      <alignment horizontal="left" vertical="top" wrapText="1" indent="1"/>
      <protection locked="0" hidden="1"/>
    </xf>
    <xf numFmtId="0" fontId="16" fillId="0" borderId="7" xfId="0" applyFont="1" applyFill="1" applyBorder="1" applyAlignment="1" applyProtection="1">
      <alignment horizontal="left" vertical="center"/>
      <protection hidden="1"/>
    </xf>
    <xf numFmtId="0" fontId="16" fillId="4" borderId="6" xfId="0" applyFont="1" applyFill="1" applyBorder="1" applyAlignment="1" applyProtection="1">
      <alignment horizontal="center" vertical="center" wrapText="1"/>
      <protection hidden="1"/>
    </xf>
    <xf numFmtId="0" fontId="16" fillId="4" borderId="3" xfId="0" applyFont="1" applyFill="1" applyBorder="1" applyAlignment="1" applyProtection="1">
      <alignment horizontal="center" vertical="center" wrapText="1"/>
      <protection hidden="1"/>
    </xf>
    <xf numFmtId="0" fontId="16" fillId="4" borderId="9" xfId="0" applyFont="1" applyFill="1" applyBorder="1" applyAlignment="1" applyProtection="1">
      <alignment horizontal="center" vertical="center" wrapText="1"/>
      <protection hidden="1"/>
    </xf>
    <xf numFmtId="0" fontId="16" fillId="4" borderId="5" xfId="0" applyFont="1" applyFill="1" applyBorder="1" applyAlignment="1" applyProtection="1">
      <alignment horizontal="center" vertical="center" wrapText="1"/>
      <protection hidden="1"/>
    </xf>
    <xf numFmtId="0" fontId="16" fillId="4" borderId="6" xfId="0" applyFont="1" applyFill="1" applyBorder="1" applyAlignment="1" applyProtection="1">
      <alignment horizontal="center"/>
      <protection hidden="1"/>
    </xf>
    <xf numFmtId="0" fontId="16" fillId="4" borderId="3" xfId="0" applyFont="1" applyFill="1" applyBorder="1" applyAlignment="1" applyProtection="1">
      <alignment horizontal="center"/>
      <protection hidden="1"/>
    </xf>
    <xf numFmtId="0" fontId="16" fillId="4" borderId="4" xfId="0" applyFont="1" applyFill="1" applyBorder="1" applyAlignment="1" applyProtection="1">
      <alignment horizontal="center"/>
      <protection hidden="1"/>
    </xf>
    <xf numFmtId="165" fontId="14" fillId="0" borderId="9" xfId="0" applyNumberFormat="1" applyFont="1" applyFill="1" applyBorder="1" applyAlignment="1" applyProtection="1">
      <alignment horizontal="left" vertical="center"/>
      <protection locked="0" hidden="1"/>
    </xf>
    <xf numFmtId="165" fontId="14" fillId="0" borderId="5" xfId="0" applyNumberFormat="1" applyFont="1" applyFill="1" applyBorder="1" applyAlignment="1" applyProtection="1">
      <alignment horizontal="left" vertical="center"/>
      <protection locked="0" hidden="1"/>
    </xf>
    <xf numFmtId="165" fontId="14" fillId="0" borderId="10" xfId="0" applyNumberFormat="1" applyFont="1" applyFill="1" applyBorder="1" applyAlignment="1" applyProtection="1">
      <alignment horizontal="left" vertical="center"/>
      <protection locked="0" hidden="1"/>
    </xf>
    <xf numFmtId="0" fontId="14" fillId="0" borderId="6" xfId="0" applyFont="1" applyFill="1" applyBorder="1" applyAlignment="1" applyProtection="1">
      <alignment horizontal="left" vertical="center" indent="1"/>
      <protection hidden="1"/>
    </xf>
    <xf numFmtId="0" fontId="14" fillId="0" borderId="3" xfId="0" applyFont="1" applyFill="1" applyBorder="1" applyAlignment="1" applyProtection="1">
      <alignment horizontal="left" vertical="center" indent="1"/>
      <protection hidden="1"/>
    </xf>
    <xf numFmtId="0" fontId="14" fillId="0" borderId="4" xfId="0" applyFont="1" applyFill="1" applyBorder="1" applyAlignment="1" applyProtection="1">
      <alignment horizontal="left" vertical="center" indent="1"/>
      <protection hidden="1"/>
    </xf>
    <xf numFmtId="0" fontId="14" fillId="0" borderId="10" xfId="0" applyFont="1" applyFill="1" applyBorder="1" applyAlignment="1" applyProtection="1">
      <alignment horizontal="left" vertical="top" wrapText="1" indent="1"/>
      <protection locked="0" hidden="1"/>
    </xf>
    <xf numFmtId="0" fontId="16" fillId="4" borderId="6" xfId="0" applyFont="1" applyFill="1" applyBorder="1" applyAlignment="1" applyProtection="1">
      <alignment horizontal="center" vertical="center"/>
      <protection hidden="1"/>
    </xf>
    <xf numFmtId="0" fontId="16" fillId="4" borderId="3" xfId="0" applyFont="1" applyFill="1" applyBorder="1" applyAlignment="1" applyProtection="1">
      <alignment horizontal="center" vertical="center"/>
      <protection hidden="1"/>
    </xf>
    <xf numFmtId="0" fontId="16" fillId="4" borderId="4" xfId="0" applyFont="1" applyFill="1" applyBorder="1" applyAlignment="1" applyProtection="1">
      <alignment horizontal="center" vertical="center"/>
      <protection hidden="1"/>
    </xf>
    <xf numFmtId="0" fontId="42" fillId="0" borderId="12" xfId="0" quotePrefix="1" applyFont="1" applyBorder="1" applyAlignment="1" applyProtection="1">
      <alignment horizontal="justify" vertical="center" wrapText="1"/>
      <protection hidden="1"/>
    </xf>
    <xf numFmtId="0" fontId="42" fillId="0" borderId="1" xfId="0" applyFont="1" applyBorder="1" applyAlignment="1" applyProtection="1">
      <alignment horizontal="justify" vertical="center" wrapText="1"/>
      <protection hidden="1"/>
    </xf>
    <xf numFmtId="0" fontId="42" fillId="0" borderId="2" xfId="0" applyFont="1" applyBorder="1" applyAlignment="1" applyProtection="1">
      <alignment horizontal="justify" vertical="center" wrapText="1"/>
      <protection hidden="1"/>
    </xf>
    <xf numFmtId="0" fontId="14" fillId="3" borderId="6" xfId="0" applyFont="1" applyFill="1" applyBorder="1" applyAlignment="1" applyProtection="1">
      <alignment horizontal="justify" vertical="center" wrapText="1"/>
      <protection hidden="1"/>
    </xf>
    <xf numFmtId="0" fontId="14" fillId="3" borderId="3" xfId="0" applyFont="1" applyFill="1" applyBorder="1" applyAlignment="1" applyProtection="1">
      <alignment horizontal="justify" vertical="center" wrapText="1"/>
      <protection hidden="1"/>
    </xf>
    <xf numFmtId="0" fontId="14" fillId="3" borderId="4" xfId="0" applyFont="1" applyFill="1" applyBorder="1" applyAlignment="1" applyProtection="1">
      <alignment horizontal="justify" vertical="center" wrapText="1"/>
      <protection hidden="1"/>
    </xf>
    <xf numFmtId="0" fontId="14" fillId="3" borderId="9" xfId="0" applyFont="1" applyFill="1" applyBorder="1" applyAlignment="1" applyProtection="1">
      <alignment horizontal="justify" vertical="center" wrapText="1"/>
      <protection hidden="1"/>
    </xf>
    <xf numFmtId="0" fontId="14" fillId="3" borderId="5" xfId="0" applyFont="1" applyFill="1" applyBorder="1" applyAlignment="1" applyProtection="1">
      <alignment horizontal="justify" vertical="center" wrapText="1"/>
      <protection hidden="1"/>
    </xf>
    <xf numFmtId="0" fontId="14" fillId="3" borderId="10" xfId="0" applyFont="1" applyFill="1" applyBorder="1" applyAlignment="1" applyProtection="1">
      <alignment horizontal="justify" vertical="center" wrapText="1"/>
      <protection hidden="1"/>
    </xf>
    <xf numFmtId="0" fontId="14" fillId="0" borderId="6" xfId="0" applyFont="1" applyBorder="1" applyAlignment="1" applyProtection="1">
      <alignment horizontal="left" vertical="center" wrapText="1"/>
      <protection hidden="1"/>
    </xf>
    <xf numFmtId="0" fontId="14" fillId="0" borderId="3" xfId="0" applyFont="1" applyBorder="1" applyAlignment="1" applyProtection="1">
      <alignment horizontal="left" vertical="center" wrapText="1"/>
      <protection hidden="1"/>
    </xf>
    <xf numFmtId="0" fontId="14" fillId="0" borderId="4" xfId="0" applyFont="1" applyBorder="1" applyAlignment="1" applyProtection="1">
      <alignment horizontal="left" vertical="center" wrapText="1"/>
      <protection hidden="1"/>
    </xf>
    <xf numFmtId="0" fontId="14" fillId="0" borderId="9" xfId="0" applyFont="1" applyBorder="1" applyAlignment="1" applyProtection="1">
      <alignment horizontal="left" vertical="center" wrapText="1"/>
      <protection hidden="1"/>
    </xf>
    <xf numFmtId="0" fontId="14" fillId="0" borderId="5" xfId="0" applyFont="1" applyBorder="1" applyAlignment="1" applyProtection="1">
      <alignment horizontal="left" vertical="center" wrapText="1"/>
      <protection hidden="1"/>
    </xf>
    <xf numFmtId="0" fontId="14" fillId="0" borderId="10" xfId="0" applyFont="1" applyBorder="1" applyAlignment="1" applyProtection="1">
      <alignment horizontal="left" vertical="center" wrapText="1"/>
      <protection hidden="1"/>
    </xf>
    <xf numFmtId="0" fontId="0" fillId="0" borderId="6" xfId="0" applyBorder="1" applyAlignment="1" applyProtection="1">
      <alignment horizontal="center" vertical="center"/>
      <protection locked="0" hidden="1"/>
    </xf>
    <xf numFmtId="0" fontId="0" fillId="0" borderId="3" xfId="0" applyBorder="1" applyAlignment="1" applyProtection="1">
      <alignment horizontal="center" vertical="center"/>
      <protection locked="0" hidden="1"/>
    </xf>
    <xf numFmtId="0" fontId="0" fillId="0" borderId="4" xfId="0" applyBorder="1" applyAlignment="1" applyProtection="1">
      <alignment horizontal="center" vertical="center"/>
      <protection locked="0" hidden="1"/>
    </xf>
    <xf numFmtId="0" fontId="43" fillId="0" borderId="11" xfId="0" applyFont="1" applyBorder="1" applyAlignment="1" applyProtection="1">
      <alignment horizontal="left" vertical="center"/>
      <protection hidden="1"/>
    </xf>
    <xf numFmtId="0" fontId="0" fillId="0" borderId="12" xfId="0" applyBorder="1" applyAlignment="1" applyProtection="1">
      <alignment horizontal="left"/>
      <protection hidden="1"/>
    </xf>
    <xf numFmtId="0" fontId="0" fillId="0" borderId="1" xfId="0" applyBorder="1" applyAlignment="1" applyProtection="1">
      <alignment horizontal="left"/>
      <protection hidden="1"/>
    </xf>
    <xf numFmtId="0" fontId="0" fillId="0" borderId="2" xfId="0" applyBorder="1" applyAlignment="1" applyProtection="1">
      <alignment horizontal="left"/>
      <protection hidden="1"/>
    </xf>
    <xf numFmtId="0" fontId="0" fillId="0" borderId="12" xfId="0" applyBorder="1" applyAlignment="1">
      <alignment horizontal="left"/>
    </xf>
    <xf numFmtId="0" fontId="0" fillId="0" borderId="1" xfId="0" applyBorder="1" applyAlignment="1">
      <alignment horizontal="left"/>
    </xf>
    <xf numFmtId="0" fontId="0" fillId="0" borderId="2" xfId="0" applyBorder="1" applyAlignment="1">
      <alignment horizontal="left"/>
    </xf>
    <xf numFmtId="0" fontId="0" fillId="0" borderId="6"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9" xfId="0" applyBorder="1" applyAlignment="1">
      <alignment horizontal="left" vertical="top" wrapText="1"/>
    </xf>
    <xf numFmtId="0" fontId="0" fillId="0" borderId="5" xfId="0" applyBorder="1" applyAlignment="1">
      <alignment horizontal="left" vertical="top" wrapText="1"/>
    </xf>
    <xf numFmtId="0" fontId="0" fillId="0" borderId="10" xfId="0" applyBorder="1" applyAlignment="1">
      <alignment horizontal="left" vertical="top" wrapText="1"/>
    </xf>
    <xf numFmtId="0" fontId="0" fillId="0" borderId="1" xfId="0" applyBorder="1" applyAlignment="1" applyProtection="1">
      <alignment horizontal="center"/>
      <protection locked="0" hidden="1"/>
    </xf>
    <xf numFmtId="0" fontId="0" fillId="0" borderId="2" xfId="0" applyBorder="1" applyAlignment="1" applyProtection="1">
      <alignment horizontal="center"/>
      <protection locked="0" hidden="1"/>
    </xf>
    <xf numFmtId="15" fontId="0" fillId="0" borderId="12" xfId="0" applyNumberFormat="1" applyBorder="1" applyAlignment="1" applyProtection="1">
      <alignment horizontal="center"/>
      <protection locked="0" hidden="1"/>
    </xf>
    <xf numFmtId="15" fontId="0" fillId="0" borderId="1" xfId="0" applyNumberFormat="1" applyBorder="1" applyAlignment="1" applyProtection="1">
      <alignment horizontal="center"/>
      <protection locked="0" hidden="1"/>
    </xf>
    <xf numFmtId="15" fontId="0" fillId="0" borderId="2" xfId="0" applyNumberFormat="1" applyBorder="1" applyAlignment="1" applyProtection="1">
      <alignment horizontal="center"/>
      <protection locked="0" hidden="1"/>
    </xf>
    <xf numFmtId="0" fontId="0" fillId="0" borderId="12" xfId="0"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14" fillId="0" borderId="12" xfId="0" applyFont="1" applyBorder="1" applyAlignment="1" applyProtection="1">
      <alignment horizontal="center" vertical="center" wrapText="1"/>
      <protection hidden="1"/>
    </xf>
    <xf numFmtId="0" fontId="14" fillId="0" borderId="1" xfId="0" applyFont="1" applyBorder="1" applyAlignment="1" applyProtection="1">
      <alignment horizontal="center" vertical="center" wrapText="1"/>
      <protection hidden="1"/>
    </xf>
    <xf numFmtId="0" fontId="24" fillId="0" borderId="13" xfId="0" applyFont="1" applyBorder="1" applyAlignment="1" applyProtection="1">
      <alignment horizontal="left" vertical="top" wrapText="1"/>
      <protection hidden="1"/>
    </xf>
    <xf numFmtId="0" fontId="24" fillId="0" borderId="1" xfId="0" applyFont="1" applyBorder="1" applyAlignment="1" applyProtection="1">
      <alignment horizontal="left" vertical="top" wrapText="1"/>
      <protection hidden="1"/>
    </xf>
    <xf numFmtId="0" fontId="24" fillId="0" borderId="2" xfId="0" applyFont="1" applyBorder="1" applyAlignment="1" applyProtection="1">
      <alignment horizontal="left" vertical="top" wrapText="1"/>
      <protection hidden="1"/>
    </xf>
    <xf numFmtId="0" fontId="24" fillId="0" borderId="13" xfId="0" applyFont="1" applyBorder="1" applyAlignment="1" applyProtection="1">
      <alignment horizontal="center" vertical="center" wrapText="1"/>
      <protection hidden="1"/>
    </xf>
    <xf numFmtId="0" fontId="24" fillId="0" borderId="1" xfId="0" applyFont="1" applyBorder="1" applyAlignment="1" applyProtection="1">
      <alignment horizontal="center" vertical="center" wrapText="1"/>
      <protection hidden="1"/>
    </xf>
    <xf numFmtId="0" fontId="24" fillId="0" borderId="2" xfId="0" applyFont="1" applyBorder="1" applyAlignment="1" applyProtection="1">
      <alignment horizontal="center" vertical="center" wrapText="1"/>
      <protection hidden="1"/>
    </xf>
    <xf numFmtId="0" fontId="27" fillId="4" borderId="6" xfId="0" applyFont="1" applyFill="1" applyBorder="1" applyAlignment="1" applyProtection="1">
      <alignment horizontal="center"/>
      <protection hidden="1"/>
    </xf>
    <xf numFmtId="0" fontId="27" fillId="4" borderId="3" xfId="0" applyFont="1" applyFill="1" applyBorder="1" applyAlignment="1" applyProtection="1">
      <alignment horizontal="center"/>
      <protection hidden="1"/>
    </xf>
    <xf numFmtId="0" fontId="27" fillId="4" borderId="4" xfId="0" applyFont="1" applyFill="1" applyBorder="1" applyAlignment="1" applyProtection="1">
      <alignment horizontal="center"/>
      <protection hidden="1"/>
    </xf>
    <xf numFmtId="0" fontId="27" fillId="4" borderId="9" xfId="0" applyFont="1" applyFill="1" applyBorder="1" applyAlignment="1" applyProtection="1">
      <alignment horizontal="center"/>
      <protection hidden="1"/>
    </xf>
    <xf numFmtId="0" fontId="27" fillId="4" borderId="5" xfId="0" applyFont="1" applyFill="1" applyBorder="1" applyAlignment="1" applyProtection="1">
      <alignment horizontal="center"/>
      <protection hidden="1"/>
    </xf>
    <xf numFmtId="0" fontId="27" fillId="4" borderId="10" xfId="0" applyFont="1" applyFill="1" applyBorder="1" applyAlignment="1" applyProtection="1">
      <alignment horizontal="center"/>
      <protection hidden="1"/>
    </xf>
    <xf numFmtId="0" fontId="24" fillId="0" borderId="12" xfId="0" applyFont="1" applyBorder="1" applyAlignment="1" applyProtection="1">
      <alignment horizontal="left" vertical="center" wrapText="1"/>
      <protection hidden="1"/>
    </xf>
    <xf numFmtId="0" fontId="24" fillId="0" borderId="1" xfId="0" applyFont="1" applyBorder="1" applyAlignment="1" applyProtection="1">
      <alignment horizontal="left" vertical="center" wrapText="1"/>
      <protection hidden="1"/>
    </xf>
    <xf numFmtId="0" fontId="24" fillId="0" borderId="2" xfId="0" applyFont="1" applyBorder="1" applyAlignment="1" applyProtection="1">
      <alignment horizontal="left" vertical="center" wrapText="1"/>
      <protection hidden="1"/>
    </xf>
    <xf numFmtId="0" fontId="24" fillId="4" borderId="9" xfId="0" applyFont="1" applyFill="1" applyBorder="1" applyAlignment="1" applyProtection="1">
      <alignment horizontal="center"/>
      <protection hidden="1"/>
    </xf>
    <xf numFmtId="0" fontId="24" fillId="4" borderId="5" xfId="0" applyFont="1" applyFill="1" applyBorder="1" applyAlignment="1" applyProtection="1">
      <alignment horizontal="center"/>
      <protection hidden="1"/>
    </xf>
    <xf numFmtId="0" fontId="24" fillId="4" borderId="10" xfId="0" applyFont="1" applyFill="1" applyBorder="1" applyAlignment="1" applyProtection="1">
      <alignment horizontal="center"/>
      <protection hidden="1"/>
    </xf>
    <xf numFmtId="0" fontId="0" fillId="0" borderId="12" xfId="0"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16" fillId="0" borderId="0" xfId="0" applyFont="1" applyBorder="1" applyAlignment="1" applyProtection="1">
      <alignment horizontal="center"/>
      <protection hidden="1"/>
    </xf>
    <xf numFmtId="0" fontId="14" fillId="0" borderId="0" xfId="0" applyFont="1" applyAlignment="1" applyProtection="1">
      <alignment horizontal="center"/>
      <protection hidden="1"/>
    </xf>
    <xf numFmtId="0" fontId="14" fillId="0" borderId="5" xfId="0" applyFont="1" applyBorder="1" applyAlignment="1" applyProtection="1">
      <alignment horizontal="center"/>
      <protection hidden="1"/>
    </xf>
    <xf numFmtId="0" fontId="27" fillId="4" borderId="6" xfId="0" applyFont="1" applyFill="1" applyBorder="1" applyAlignment="1" applyProtection="1">
      <alignment horizontal="center" vertical="center"/>
      <protection hidden="1"/>
    </xf>
    <xf numFmtId="0" fontId="27" fillId="4" borderId="3" xfId="0" applyFont="1" applyFill="1" applyBorder="1" applyAlignment="1" applyProtection="1">
      <alignment horizontal="center" vertical="center"/>
      <protection hidden="1"/>
    </xf>
    <xf numFmtId="0" fontId="27" fillId="4" borderId="4" xfId="0" applyFont="1" applyFill="1" applyBorder="1" applyAlignment="1" applyProtection="1">
      <alignment horizontal="center" vertical="center"/>
      <protection hidden="1"/>
    </xf>
    <xf numFmtId="0" fontId="27" fillId="4" borderId="7" xfId="0" applyFont="1" applyFill="1" applyBorder="1" applyAlignment="1" applyProtection="1">
      <alignment horizontal="center" vertical="center"/>
      <protection hidden="1"/>
    </xf>
    <xf numFmtId="0" fontId="27" fillId="4" borderId="0" xfId="0" applyFont="1" applyFill="1" applyBorder="1" applyAlignment="1" applyProtection="1">
      <alignment horizontal="center" vertical="center"/>
      <protection hidden="1"/>
    </xf>
    <xf numFmtId="0" fontId="27" fillId="4" borderId="8" xfId="0" applyFont="1" applyFill="1" applyBorder="1" applyAlignment="1" applyProtection="1">
      <alignment horizontal="center" vertical="center"/>
      <protection hidden="1"/>
    </xf>
    <xf numFmtId="0" fontId="27" fillId="4" borderId="0" xfId="0" applyFont="1" applyFill="1" applyBorder="1" applyAlignment="1" applyProtection="1">
      <alignment horizontal="center"/>
      <protection hidden="1"/>
    </xf>
    <xf numFmtId="1" fontId="14" fillId="0" borderId="12" xfId="0" applyNumberFormat="1" applyFont="1" applyBorder="1" applyAlignment="1" applyProtection="1">
      <alignment horizontal="center" vertical="center"/>
      <protection hidden="1"/>
    </xf>
    <xf numFmtId="1" fontId="14" fillId="0" borderId="1" xfId="0" applyNumberFormat="1" applyFont="1" applyBorder="1" applyAlignment="1" applyProtection="1">
      <alignment horizontal="center" vertical="center"/>
      <protection hidden="1"/>
    </xf>
    <xf numFmtId="1" fontId="14" fillId="0" borderId="2" xfId="0" applyNumberFormat="1" applyFont="1" applyBorder="1" applyAlignment="1" applyProtection="1">
      <alignment horizontal="center" vertical="center"/>
      <protection hidden="1"/>
    </xf>
    <xf numFmtId="0" fontId="40" fillId="4" borderId="6" xfId="0" applyFont="1" applyFill="1" applyBorder="1" applyAlignment="1" applyProtection="1">
      <alignment horizontal="center" vertical="center" wrapText="1"/>
      <protection hidden="1"/>
    </xf>
    <xf numFmtId="0" fontId="40" fillId="4" borderId="3" xfId="0" applyFont="1" applyFill="1" applyBorder="1" applyAlignment="1" applyProtection="1">
      <alignment horizontal="center" vertical="center" wrapText="1"/>
      <protection hidden="1"/>
    </xf>
    <xf numFmtId="0" fontId="40" fillId="4" borderId="4" xfId="0" applyFont="1" applyFill="1" applyBorder="1" applyAlignment="1" applyProtection="1">
      <alignment horizontal="center" vertical="center" wrapText="1"/>
      <protection hidden="1"/>
    </xf>
    <xf numFmtId="0" fontId="14" fillId="0" borderId="2" xfId="0" applyFont="1" applyBorder="1" applyAlignment="1" applyProtection="1">
      <alignment horizontal="center" vertical="center" wrapText="1"/>
      <protection hidden="1"/>
    </xf>
    <xf numFmtId="0" fontId="9" fillId="0" borderId="12" xfId="0" applyFont="1" applyBorder="1" applyAlignment="1" applyProtection="1">
      <alignment horizontal="left" vertical="center"/>
      <protection hidden="1"/>
    </xf>
    <xf numFmtId="0" fontId="9" fillId="0" borderId="1" xfId="0" applyFont="1" applyBorder="1" applyAlignment="1" applyProtection="1">
      <alignment horizontal="left" vertical="center"/>
      <protection hidden="1"/>
    </xf>
    <xf numFmtId="0" fontId="9" fillId="0" borderId="2" xfId="0" applyFont="1" applyBorder="1" applyAlignment="1" applyProtection="1">
      <alignment horizontal="left" vertical="center"/>
      <protection hidden="1"/>
    </xf>
    <xf numFmtId="0" fontId="24" fillId="4" borderId="6" xfId="0" applyFont="1" applyFill="1" applyBorder="1" applyAlignment="1" applyProtection="1">
      <alignment horizontal="center" wrapText="1"/>
      <protection hidden="1"/>
    </xf>
    <xf numFmtId="0" fontId="24" fillId="4" borderId="3" xfId="0" applyFont="1" applyFill="1" applyBorder="1" applyAlignment="1" applyProtection="1">
      <alignment horizontal="center" wrapText="1"/>
      <protection hidden="1"/>
    </xf>
    <xf numFmtId="0" fontId="24" fillId="4" borderId="4" xfId="0" applyFont="1" applyFill="1" applyBorder="1" applyAlignment="1" applyProtection="1">
      <alignment horizontal="center" wrapText="1"/>
      <protection hidden="1"/>
    </xf>
    <xf numFmtId="0" fontId="24" fillId="4" borderId="6" xfId="0" applyFont="1" applyFill="1" applyBorder="1" applyAlignment="1" applyProtection="1">
      <alignment horizontal="center" vertical="center" wrapText="1"/>
      <protection hidden="1"/>
    </xf>
    <xf numFmtId="0" fontId="24" fillId="4" borderId="3" xfId="0" applyFont="1" applyFill="1" applyBorder="1" applyAlignment="1" applyProtection="1">
      <alignment horizontal="center" vertical="center" wrapText="1"/>
      <protection hidden="1"/>
    </xf>
    <xf numFmtId="0" fontId="24" fillId="4" borderId="4" xfId="0" applyFont="1" applyFill="1" applyBorder="1" applyAlignment="1" applyProtection="1">
      <alignment horizontal="center" vertical="center" wrapText="1"/>
      <protection hidden="1"/>
    </xf>
    <xf numFmtId="0" fontId="14" fillId="0" borderId="1" xfId="0" applyFont="1" applyBorder="1" applyAlignment="1" applyProtection="1">
      <alignment horizontal="left" vertical="center" wrapText="1"/>
      <protection hidden="1"/>
    </xf>
    <xf numFmtId="0" fontId="0" fillId="0" borderId="12" xfId="0" applyBorder="1" applyAlignment="1" applyProtection="1">
      <alignment horizontal="center"/>
      <protection hidden="1"/>
    </xf>
    <xf numFmtId="0" fontId="0" fillId="0" borderId="2" xfId="0" applyBorder="1" applyAlignment="1" applyProtection="1">
      <alignment horizontal="center"/>
      <protection hidden="1"/>
    </xf>
    <xf numFmtId="0" fontId="9" fillId="0" borderId="12" xfId="0" applyFont="1" applyBorder="1" applyAlignment="1" applyProtection="1">
      <alignment horizontal="center" vertical="center"/>
      <protection hidden="1"/>
    </xf>
    <xf numFmtId="0" fontId="9" fillId="0" borderId="1" xfId="0" applyFont="1" applyBorder="1" applyAlignment="1" applyProtection="1">
      <alignment horizontal="center" vertical="center"/>
      <protection hidden="1"/>
    </xf>
    <xf numFmtId="0" fontId="16" fillId="0" borderId="11" xfId="0" applyFont="1" applyBorder="1" applyAlignment="1" applyProtection="1">
      <alignment horizontal="center"/>
      <protection hidden="1"/>
    </xf>
    <xf numFmtId="0" fontId="0" fillId="0" borderId="11" xfId="0" applyBorder="1" applyAlignment="1" applyProtection="1">
      <alignment horizontal="center"/>
      <protection hidden="1"/>
    </xf>
    <xf numFmtId="0" fontId="16" fillId="0" borderId="12" xfId="0" applyFont="1" applyBorder="1" applyAlignment="1" applyProtection="1">
      <alignment horizontal="center"/>
      <protection hidden="1"/>
    </xf>
    <xf numFmtId="0" fontId="16" fillId="0" borderId="1" xfId="0" applyFont="1" applyBorder="1" applyAlignment="1" applyProtection="1">
      <alignment horizontal="center"/>
      <protection hidden="1"/>
    </xf>
    <xf numFmtId="0" fontId="16" fillId="0" borderId="2" xfId="0" applyFont="1" applyBorder="1" applyAlignment="1" applyProtection="1">
      <alignment horizontal="center"/>
      <protection hidden="1"/>
    </xf>
    <xf numFmtId="0" fontId="9" fillId="0" borderId="12" xfId="0" applyFont="1" applyBorder="1" applyAlignment="1" applyProtection="1">
      <alignment horizontal="center"/>
      <protection hidden="1"/>
    </xf>
    <xf numFmtId="0" fontId="9" fillId="0" borderId="1" xfId="0" applyFont="1" applyBorder="1" applyAlignment="1" applyProtection="1">
      <alignment horizontal="center"/>
      <protection hidden="1"/>
    </xf>
    <xf numFmtId="0" fontId="9" fillId="0" borderId="2" xfId="0" applyFont="1" applyBorder="1" applyAlignment="1" applyProtection="1">
      <alignment horizontal="center"/>
      <protection hidden="1"/>
    </xf>
    <xf numFmtId="0" fontId="0" fillId="0" borderId="0" xfId="0" applyBorder="1" applyAlignment="1" applyProtection="1">
      <alignment horizontal="center" wrapText="1"/>
      <protection hidden="1"/>
    </xf>
    <xf numFmtId="0" fontId="0" fillId="0" borderId="5" xfId="0" applyBorder="1" applyAlignment="1" applyProtection="1">
      <alignment horizontal="center" wrapText="1"/>
      <protection hidden="1"/>
    </xf>
    <xf numFmtId="0" fontId="0" fillId="0" borderId="0" xfId="0" applyBorder="1" applyAlignment="1" applyProtection="1">
      <alignment horizontal="center"/>
      <protection hidden="1"/>
    </xf>
    <xf numFmtId="0" fontId="9" fillId="0" borderId="0" xfId="0" applyFont="1" applyBorder="1" applyAlignment="1" applyProtection="1">
      <alignment horizontal="center"/>
      <protection hidden="1"/>
    </xf>
    <xf numFmtId="0" fontId="0" fillId="0" borderId="14" xfId="0" applyBorder="1" applyAlignment="1" applyProtection="1">
      <alignment horizontal="center"/>
      <protection hidden="1"/>
    </xf>
    <xf numFmtId="0" fontId="9" fillId="0" borderId="2" xfId="0" applyFont="1" applyBorder="1" applyAlignment="1" applyProtection="1">
      <alignment horizontal="center" vertical="center"/>
      <protection hidden="1"/>
    </xf>
    <xf numFmtId="0" fontId="9" fillId="0" borderId="6" xfId="0" applyFont="1" applyFill="1" applyBorder="1" applyAlignment="1" applyProtection="1">
      <alignment horizontal="center" vertical="center" wrapText="1"/>
      <protection hidden="1"/>
    </xf>
    <xf numFmtId="0" fontId="9" fillId="0" borderId="3" xfId="0" applyFont="1" applyFill="1" applyBorder="1" applyAlignment="1" applyProtection="1">
      <alignment horizontal="center" vertical="center" wrapText="1"/>
      <protection hidden="1"/>
    </xf>
    <xf numFmtId="0" fontId="9" fillId="0" borderId="4" xfId="0" applyFont="1" applyFill="1" applyBorder="1" applyAlignment="1" applyProtection="1">
      <alignment horizontal="center" vertical="center" wrapText="1"/>
      <protection hidden="1"/>
    </xf>
    <xf numFmtId="0" fontId="9" fillId="0" borderId="9" xfId="0" applyFont="1" applyFill="1" applyBorder="1" applyAlignment="1" applyProtection="1">
      <alignment horizontal="center" vertical="center" wrapText="1"/>
      <protection hidden="1"/>
    </xf>
    <xf numFmtId="0" fontId="9" fillId="0" borderId="5" xfId="0" applyFont="1" applyFill="1" applyBorder="1" applyAlignment="1" applyProtection="1">
      <alignment horizontal="center" vertical="center" wrapText="1"/>
      <protection hidden="1"/>
    </xf>
    <xf numFmtId="0" fontId="9" fillId="0" borderId="10" xfId="0" applyFont="1" applyFill="1" applyBorder="1" applyAlignment="1" applyProtection="1">
      <alignment horizontal="center" vertical="center" wrapText="1"/>
      <protection hidden="1"/>
    </xf>
    <xf numFmtId="0" fontId="17" fillId="0" borderId="15" xfId="0" applyFont="1" applyBorder="1" applyAlignment="1" applyProtection="1">
      <alignment horizontal="center"/>
      <protection hidden="1"/>
    </xf>
    <xf numFmtId="0" fontId="0" fillId="0" borderId="12" xfId="0"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0" fillId="0" borderId="12" xfId="0" applyBorder="1" applyAlignment="1" applyProtection="1">
      <alignment horizontal="left" vertical="center" wrapText="1"/>
      <protection hidden="1"/>
    </xf>
    <xf numFmtId="0" fontId="0" fillId="0" borderId="1" xfId="0" applyBorder="1" applyAlignment="1" applyProtection="1">
      <alignment horizontal="left" vertical="center" wrapText="1"/>
      <protection hidden="1"/>
    </xf>
    <xf numFmtId="0" fontId="9" fillId="0" borderId="0" xfId="0" applyFont="1" applyAlignment="1" applyProtection="1">
      <alignment horizontal="center"/>
      <protection hidden="1"/>
    </xf>
    <xf numFmtId="0" fontId="0" fillId="0" borderId="6" xfId="0" applyBorder="1" applyAlignment="1" applyProtection="1">
      <alignment horizontal="left" vertical="center"/>
      <protection hidden="1"/>
    </xf>
    <xf numFmtId="0" fontId="0" fillId="0" borderId="3" xfId="0" applyBorder="1" applyAlignment="1" applyProtection="1">
      <alignment horizontal="left" vertical="center"/>
      <protection hidden="1"/>
    </xf>
    <xf numFmtId="0" fontId="0" fillId="0" borderId="4" xfId="0" applyBorder="1" applyAlignment="1" applyProtection="1">
      <alignment horizontal="left" vertical="center"/>
      <protection hidden="1"/>
    </xf>
    <xf numFmtId="0" fontId="0" fillId="0" borderId="0" xfId="0" applyAlignment="1" applyProtection="1">
      <alignment horizontal="center" vertical="center"/>
      <protection hidden="1"/>
    </xf>
    <xf numFmtId="0" fontId="0" fillId="0" borderId="8" xfId="0" applyBorder="1" applyAlignment="1" applyProtection="1">
      <alignment horizontal="center" vertical="center"/>
      <protection hidden="1"/>
    </xf>
    <xf numFmtId="0" fontId="9" fillId="0" borderId="12" xfId="0" applyFont="1" applyBorder="1" applyAlignment="1" applyProtection="1">
      <alignment horizontal="left"/>
      <protection hidden="1"/>
    </xf>
    <xf numFmtId="0" fontId="9" fillId="0" borderId="1" xfId="0" applyFont="1" applyBorder="1" applyAlignment="1" applyProtection="1">
      <alignment horizontal="left"/>
      <protection hidden="1"/>
    </xf>
    <xf numFmtId="0" fontId="9" fillId="0" borderId="3" xfId="0" applyFont="1" applyBorder="1" applyAlignment="1" applyProtection="1">
      <alignment horizontal="center"/>
      <protection hidden="1"/>
    </xf>
    <xf numFmtId="0" fontId="0" fillId="0" borderId="6" xfId="0" applyBorder="1" applyAlignment="1" applyProtection="1">
      <alignment horizontal="left"/>
      <protection hidden="1"/>
    </xf>
    <xf numFmtId="0" fontId="0" fillId="0" borderId="3" xfId="0" applyBorder="1" applyAlignment="1" applyProtection="1">
      <alignment horizontal="left"/>
      <protection hidden="1"/>
    </xf>
    <xf numFmtId="0" fontId="0" fillId="0" borderId="4" xfId="0" applyBorder="1" applyAlignment="1" applyProtection="1">
      <alignment horizontal="left"/>
      <protection hidden="1"/>
    </xf>
    <xf numFmtId="0" fontId="0" fillId="0" borderId="2" xfId="0" applyBorder="1" applyAlignment="1" applyProtection="1">
      <alignment horizontal="left" vertical="center"/>
      <protection hidden="1"/>
    </xf>
    <xf numFmtId="0" fontId="9" fillId="0" borderId="11" xfId="0" applyFont="1" applyBorder="1" applyAlignment="1" applyProtection="1">
      <alignment horizontal="center" vertical="center"/>
      <protection hidden="1"/>
    </xf>
    <xf numFmtId="49" fontId="0" fillId="0" borderId="11" xfId="0" applyNumberFormat="1" applyBorder="1" applyAlignment="1" applyProtection="1">
      <alignment horizontal="center"/>
      <protection hidden="1"/>
    </xf>
    <xf numFmtId="0" fontId="0" fillId="0" borderId="0" xfId="0" applyAlignment="1" applyProtection="1">
      <alignment horizontal="center"/>
      <protection hidden="1"/>
    </xf>
    <xf numFmtId="0" fontId="0" fillId="0" borderId="8" xfId="0" applyBorder="1" applyAlignment="1" applyProtection="1">
      <alignment horizontal="center"/>
      <protection hidden="1"/>
    </xf>
    <xf numFmtId="0" fontId="9" fillId="0" borderId="11" xfId="0" applyFont="1" applyBorder="1" applyAlignment="1" applyProtection="1">
      <alignment horizontal="center" vertical="center" wrapText="1"/>
      <protection hidden="1"/>
    </xf>
    <xf numFmtId="0" fontId="9" fillId="0" borderId="11" xfId="0" applyFont="1" applyBorder="1" applyAlignment="1" applyProtection="1">
      <alignment horizontal="center"/>
      <protection hidden="1"/>
    </xf>
    <xf numFmtId="0" fontId="0" fillId="0" borderId="0" xfId="0" applyAlignment="1" applyProtection="1">
      <alignment horizontal="left"/>
      <protection hidden="1"/>
    </xf>
    <xf numFmtId="0" fontId="0" fillId="0" borderId="11" xfId="0" applyBorder="1" applyAlignment="1" applyProtection="1">
      <alignment horizontal="center" vertical="center"/>
      <protection hidden="1"/>
    </xf>
    <xf numFmtId="0" fontId="0" fillId="0" borderId="6" xfId="0" applyBorder="1" applyAlignment="1" applyProtection="1">
      <alignment horizontal="center"/>
      <protection hidden="1"/>
    </xf>
    <xf numFmtId="0" fontId="0" fillId="0" borderId="4" xfId="0" applyBorder="1" applyAlignment="1" applyProtection="1">
      <alignment horizontal="center"/>
      <protection hidden="1"/>
    </xf>
    <xf numFmtId="0" fontId="9" fillId="0" borderId="9" xfId="0" applyFont="1" applyBorder="1" applyAlignment="1" applyProtection="1">
      <alignment horizontal="center"/>
      <protection hidden="1"/>
    </xf>
    <xf numFmtId="0" fontId="9" fillId="0" borderId="5" xfId="0" applyFont="1" applyBorder="1" applyAlignment="1" applyProtection="1">
      <alignment horizontal="center"/>
      <protection hidden="1"/>
    </xf>
    <xf numFmtId="0" fontId="9" fillId="0" borderId="10" xfId="0" applyFont="1" applyBorder="1" applyAlignment="1" applyProtection="1">
      <alignment horizontal="center"/>
      <protection hidden="1"/>
    </xf>
    <xf numFmtId="0" fontId="44" fillId="0" borderId="12" xfId="0" applyFont="1" applyBorder="1" applyAlignment="1" applyProtection="1">
      <alignment horizontal="center"/>
      <protection hidden="1"/>
    </xf>
    <xf numFmtId="0" fontId="44" fillId="0" borderId="1" xfId="0" applyFont="1" applyBorder="1" applyAlignment="1" applyProtection="1">
      <alignment horizontal="center"/>
      <protection hidden="1"/>
    </xf>
    <xf numFmtId="0" fontId="44" fillId="0" borderId="2" xfId="0" applyFont="1" applyBorder="1" applyAlignment="1" applyProtection="1">
      <alignment horizontal="center"/>
      <protection hidden="1"/>
    </xf>
    <xf numFmtId="0" fontId="0" fillId="0" borderId="16" xfId="0" applyBorder="1" applyAlignment="1" applyProtection="1">
      <alignment horizontal="center"/>
      <protection hidden="1"/>
    </xf>
    <xf numFmtId="0" fontId="0" fillId="0" borderId="5" xfId="0" applyBorder="1" applyAlignment="1" applyProtection="1">
      <alignment horizontal="center"/>
      <protection hidden="1"/>
    </xf>
    <xf numFmtId="0" fontId="9" fillId="0" borderId="8" xfId="0" applyFont="1" applyBorder="1" applyAlignment="1" applyProtection="1">
      <alignment horizontal="center"/>
      <protection hidden="1"/>
    </xf>
    <xf numFmtId="0" fontId="0" fillId="0" borderId="0" xfId="0" applyFill="1" applyAlignment="1" applyProtection="1">
      <alignment horizontal="center"/>
      <protection hidden="1"/>
    </xf>
    <xf numFmtId="0" fontId="0" fillId="0" borderId="0" xfId="0" applyFill="1" applyBorder="1" applyAlignment="1" applyProtection="1">
      <alignment horizontal="center"/>
      <protection hidden="1"/>
    </xf>
    <xf numFmtId="167" fontId="0" fillId="0" borderId="12" xfId="0" applyNumberFormat="1" applyBorder="1" applyAlignment="1" applyProtection="1">
      <alignment horizontal="center" vertical="center"/>
      <protection hidden="1"/>
    </xf>
    <xf numFmtId="167" fontId="0" fillId="0" borderId="1" xfId="0" applyNumberFormat="1" applyBorder="1" applyAlignment="1" applyProtection="1">
      <alignment horizontal="center" vertical="center"/>
      <protection hidden="1"/>
    </xf>
    <xf numFmtId="167" fontId="0" fillId="0" borderId="2" xfId="0" applyNumberFormat="1" applyBorder="1" applyAlignment="1" applyProtection="1">
      <alignment horizontal="center" vertical="center"/>
      <protection hidden="1"/>
    </xf>
    <xf numFmtId="0" fontId="9" fillId="0" borderId="11" xfId="0" applyFont="1" applyBorder="1" applyAlignment="1" applyProtection="1">
      <alignment horizontal="left"/>
      <protection hidden="1"/>
    </xf>
    <xf numFmtId="0" fontId="0" fillId="0" borderId="12" xfId="0" applyNumberFormat="1" applyBorder="1" applyAlignment="1" applyProtection="1">
      <alignment horizontal="center"/>
      <protection hidden="1"/>
    </xf>
    <xf numFmtId="0" fontId="0" fillId="0" borderId="2" xfId="0" applyNumberFormat="1" applyBorder="1" applyAlignment="1" applyProtection="1">
      <alignment horizontal="center"/>
      <protection hidden="1"/>
    </xf>
    <xf numFmtId="168" fontId="0" fillId="0" borderId="12" xfId="0" applyNumberFormat="1" applyBorder="1" applyAlignment="1" applyProtection="1">
      <alignment horizontal="center"/>
      <protection hidden="1"/>
    </xf>
    <xf numFmtId="168" fontId="0" fillId="0" borderId="2" xfId="0" applyNumberFormat="1" applyBorder="1" applyAlignment="1" applyProtection="1">
      <alignment horizontal="center"/>
      <protection hidden="1"/>
    </xf>
    <xf numFmtId="0" fontId="45" fillId="0" borderId="0" xfId="0" applyFont="1" applyAlignment="1" applyProtection="1">
      <alignment horizontal="center"/>
      <protection hidden="1"/>
    </xf>
    <xf numFmtId="0" fontId="16" fillId="0" borderId="0" xfId="0" applyFont="1" applyAlignment="1" applyProtection="1">
      <alignment horizontal="center"/>
      <protection hidden="1"/>
    </xf>
    <xf numFmtId="0" fontId="12" fillId="0" borderId="0" xfId="0" applyFont="1" applyAlignment="1" applyProtection="1">
      <alignment horizontal="right"/>
      <protection hidden="1"/>
    </xf>
    <xf numFmtId="0" fontId="35" fillId="0" borderId="0" xfId="0" applyFont="1" applyAlignment="1" applyProtection="1">
      <alignment horizontal="right"/>
      <protection hidden="1"/>
    </xf>
    <xf numFmtId="0" fontId="17" fillId="0" borderId="0" xfId="0" applyFont="1" applyAlignment="1" applyProtection="1">
      <alignment horizontal="center"/>
      <protection hidden="1"/>
    </xf>
    <xf numFmtId="0" fontId="21" fillId="0" borderId="0" xfId="0" applyFont="1" applyAlignment="1" applyProtection="1">
      <alignment horizontal="center"/>
      <protection hidden="1"/>
    </xf>
    <xf numFmtId="0" fontId="44" fillId="0" borderId="11" xfId="0" applyNumberFormat="1" applyFont="1" applyBorder="1" applyAlignment="1" applyProtection="1">
      <alignment horizontal="center"/>
      <protection hidden="1"/>
    </xf>
    <xf numFmtId="0" fontId="44" fillId="0" borderId="11" xfId="0" applyFont="1" applyBorder="1" applyAlignment="1" applyProtection="1">
      <alignment horizontal="center"/>
      <protection hidden="1"/>
    </xf>
    <xf numFmtId="0" fontId="6" fillId="0" borderId="12" xfId="0" applyFont="1" applyBorder="1" applyAlignment="1" applyProtection="1">
      <alignment horizontal="center"/>
      <protection hidden="1"/>
    </xf>
    <xf numFmtId="0" fontId="6" fillId="0" borderId="1" xfId="0" applyFont="1" applyBorder="1" applyAlignment="1" applyProtection="1">
      <alignment horizontal="center"/>
      <protection hidden="1"/>
    </xf>
    <xf numFmtId="0" fontId="6" fillId="0" borderId="2" xfId="0" applyFont="1" applyBorder="1" applyAlignment="1" applyProtection="1">
      <alignment horizontal="center"/>
      <protection hidden="1"/>
    </xf>
    <xf numFmtId="0" fontId="9" fillId="0" borderId="0" xfId="0" applyFont="1" applyAlignment="1" applyProtection="1">
      <alignment horizontal="center" vertical="center" wrapText="1"/>
      <protection hidden="1"/>
    </xf>
    <xf numFmtId="0" fontId="14" fillId="0" borderId="6" xfId="0" applyFont="1" applyBorder="1" applyAlignment="1" applyProtection="1">
      <alignment horizontal="center" vertical="center" wrapText="1"/>
      <protection hidden="1"/>
    </xf>
    <xf numFmtId="0" fontId="14" fillId="0" borderId="3" xfId="0" applyFont="1" applyBorder="1" applyAlignment="1" applyProtection="1">
      <alignment horizontal="center" vertical="center" wrapText="1"/>
      <protection hidden="1"/>
    </xf>
    <xf numFmtId="0" fontId="14" fillId="0" borderId="4" xfId="0" applyFont="1" applyBorder="1" applyAlignment="1" applyProtection="1">
      <alignment horizontal="center" vertical="center" wrapText="1"/>
      <protection hidden="1"/>
    </xf>
    <xf numFmtId="0" fontId="14" fillId="0" borderId="9" xfId="0" applyFont="1" applyBorder="1" applyAlignment="1" applyProtection="1">
      <alignment horizontal="center" vertical="center" wrapText="1"/>
      <protection hidden="1"/>
    </xf>
    <xf numFmtId="0" fontId="14" fillId="0" borderId="5" xfId="0" applyFont="1" applyBorder="1" applyAlignment="1" applyProtection="1">
      <alignment horizontal="center" vertical="center" wrapText="1"/>
      <protection hidden="1"/>
    </xf>
    <xf numFmtId="0" fontId="14" fillId="0" borderId="10" xfId="0" applyFont="1" applyBorder="1" applyAlignment="1" applyProtection="1">
      <alignment horizontal="center" vertical="center" wrapText="1"/>
      <protection hidden="1"/>
    </xf>
    <xf numFmtId="0" fontId="14" fillId="0" borderId="6" xfId="0" applyFont="1" applyBorder="1" applyAlignment="1" applyProtection="1">
      <alignment horizontal="center" vertical="center"/>
      <protection hidden="1"/>
    </xf>
    <xf numFmtId="0" fontId="14" fillId="0" borderId="3" xfId="0" applyFont="1" applyBorder="1" applyAlignment="1" applyProtection="1">
      <alignment horizontal="center" vertical="center"/>
      <protection hidden="1"/>
    </xf>
    <xf numFmtId="0" fontId="14" fillId="0" borderId="4" xfId="0" applyFont="1" applyBorder="1" applyAlignment="1" applyProtection="1">
      <alignment horizontal="center" vertical="center"/>
      <protection hidden="1"/>
    </xf>
    <xf numFmtId="0" fontId="14" fillId="0" borderId="9" xfId="0" applyFont="1" applyBorder="1" applyAlignment="1" applyProtection="1">
      <alignment horizontal="center" vertical="center"/>
      <protection hidden="1"/>
    </xf>
    <xf numFmtId="0" fontId="14" fillId="0" borderId="10" xfId="0" applyFont="1" applyBorder="1" applyAlignment="1" applyProtection="1">
      <alignment horizontal="center" vertical="center"/>
      <protection hidden="1"/>
    </xf>
    <xf numFmtId="1" fontId="14" fillId="0" borderId="6" xfId="0" applyNumberFormat="1" applyFont="1" applyBorder="1" applyAlignment="1" applyProtection="1">
      <alignment horizontal="center" vertical="center" wrapText="1"/>
      <protection hidden="1"/>
    </xf>
    <xf numFmtId="0" fontId="24" fillId="0" borderId="17" xfId="0" applyFont="1" applyBorder="1" applyAlignment="1" applyProtection="1">
      <alignment horizontal="left" vertical="top" wrapText="1"/>
      <protection hidden="1"/>
    </xf>
    <xf numFmtId="0" fontId="24" fillId="0" borderId="18" xfId="0" applyFont="1" applyBorder="1" applyAlignment="1" applyProtection="1">
      <alignment horizontal="left" vertical="top" wrapText="1"/>
      <protection hidden="1"/>
    </xf>
    <xf numFmtId="0" fontId="24" fillId="0" borderId="19" xfId="0" applyFont="1" applyBorder="1" applyAlignment="1" applyProtection="1">
      <alignment horizontal="left" vertical="top" wrapText="1"/>
      <protection hidden="1"/>
    </xf>
    <xf numFmtId="0" fontId="14" fillId="0" borderId="6" xfId="0" quotePrefix="1" applyFont="1" applyBorder="1" applyAlignment="1" applyProtection="1">
      <alignment horizontal="left" vertical="top"/>
      <protection hidden="1"/>
    </xf>
    <xf numFmtId="0" fontId="14" fillId="0" borderId="3" xfId="0" quotePrefix="1" applyFont="1" applyBorder="1" applyAlignment="1" applyProtection="1">
      <alignment horizontal="left" vertical="top"/>
      <protection hidden="1"/>
    </xf>
    <xf numFmtId="0" fontId="14" fillId="0" borderId="9" xfId="0" quotePrefix="1" applyFont="1" applyBorder="1" applyAlignment="1" applyProtection="1">
      <alignment horizontal="left" vertical="top"/>
      <protection hidden="1"/>
    </xf>
    <xf numFmtId="0" fontId="14" fillId="0" borderId="5" xfId="0" quotePrefix="1" applyFont="1" applyBorder="1" applyAlignment="1" applyProtection="1">
      <alignment horizontal="left" vertical="top"/>
      <protection hidden="1"/>
    </xf>
    <xf numFmtId="0" fontId="14" fillId="0" borderId="1" xfId="0" applyFont="1" applyBorder="1" applyAlignment="1" applyProtection="1">
      <alignment horizontal="center"/>
      <protection hidden="1"/>
    </xf>
    <xf numFmtId="0" fontId="14" fillId="4" borderId="1" xfId="0" applyFont="1" applyFill="1" applyBorder="1" applyAlignment="1" applyProtection="1">
      <alignment horizontal="center" vertical="center"/>
      <protection hidden="1"/>
    </xf>
    <xf numFmtId="0" fontId="14" fillId="4" borderId="2" xfId="0" applyFont="1" applyFill="1" applyBorder="1" applyAlignment="1" applyProtection="1">
      <alignment horizontal="center" vertical="center"/>
      <protection hidden="1"/>
    </xf>
    <xf numFmtId="0" fontId="16" fillId="4" borderId="9" xfId="0" applyFont="1" applyFill="1" applyBorder="1" applyAlignment="1" applyProtection="1">
      <alignment horizontal="center"/>
      <protection hidden="1"/>
    </xf>
    <xf numFmtId="0" fontId="16" fillId="4" borderId="5" xfId="0" applyFont="1" applyFill="1" applyBorder="1" applyAlignment="1" applyProtection="1">
      <alignment horizontal="center"/>
      <protection hidden="1"/>
    </xf>
    <xf numFmtId="0" fontId="14" fillId="4" borderId="5" xfId="0" applyFont="1" applyFill="1" applyBorder="1" applyAlignment="1" applyProtection="1">
      <alignment horizontal="center" vertical="center"/>
      <protection hidden="1"/>
    </xf>
    <xf numFmtId="0" fontId="14" fillId="4" borderId="10" xfId="0" applyFont="1" applyFill="1" applyBorder="1" applyAlignment="1" applyProtection="1">
      <alignment horizontal="center" vertical="center"/>
      <protection hidden="1"/>
    </xf>
    <xf numFmtId="0" fontId="14" fillId="0" borderId="3" xfId="0" applyFont="1" applyBorder="1" applyAlignment="1" applyProtection="1">
      <alignment horizontal="center"/>
      <protection hidden="1"/>
    </xf>
    <xf numFmtId="0" fontId="14" fillId="0" borderId="0" xfId="0" applyFont="1" applyBorder="1" applyAlignment="1" applyProtection="1">
      <alignment horizontal="left"/>
      <protection hidden="1"/>
    </xf>
    <xf numFmtId="0" fontId="14" fillId="0" borderId="0" xfId="0" applyFont="1" applyAlignment="1" applyProtection="1">
      <alignment horizontal="center" vertical="center"/>
      <protection hidden="1"/>
    </xf>
    <xf numFmtId="0" fontId="14" fillId="0" borderId="6" xfId="0" applyFont="1" applyBorder="1" applyAlignment="1" applyProtection="1">
      <alignment horizontal="center"/>
      <protection hidden="1"/>
    </xf>
    <xf numFmtId="0" fontId="14" fillId="0" borderId="4" xfId="0" applyFont="1" applyBorder="1" applyAlignment="1" applyProtection="1">
      <alignment horizontal="center"/>
      <protection hidden="1"/>
    </xf>
    <xf numFmtId="0" fontId="14" fillId="0" borderId="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4" fillId="0" borderId="8" xfId="0" applyFont="1" applyBorder="1" applyAlignment="1" applyProtection="1">
      <alignment horizontal="center"/>
      <protection hidden="1"/>
    </xf>
    <xf numFmtId="0" fontId="14" fillId="0" borderId="9" xfId="0" applyFont="1" applyBorder="1" applyAlignment="1" applyProtection="1">
      <alignment horizontal="center"/>
      <protection hidden="1"/>
    </xf>
    <xf numFmtId="0" fontId="14" fillId="0" borderId="10" xfId="0" applyFont="1" applyBorder="1" applyAlignment="1" applyProtection="1">
      <alignment horizontal="center"/>
      <protection hidden="1"/>
    </xf>
    <xf numFmtId="0" fontId="14" fillId="0" borderId="6" xfId="0" applyFont="1" applyBorder="1" applyAlignment="1" applyProtection="1">
      <alignment horizontal="left" vertical="center"/>
      <protection hidden="1"/>
    </xf>
    <xf numFmtId="0" fontId="14" fillId="0" borderId="3" xfId="0" applyFont="1" applyBorder="1" applyAlignment="1" applyProtection="1">
      <alignment horizontal="left" vertical="center"/>
      <protection hidden="1"/>
    </xf>
    <xf numFmtId="0" fontId="14" fillId="0" borderId="4" xfId="0" applyFont="1" applyBorder="1" applyAlignment="1" applyProtection="1">
      <alignment horizontal="left" vertical="center"/>
      <protection hidden="1"/>
    </xf>
    <xf numFmtId="0" fontId="14" fillId="0" borderId="9" xfId="0" applyFont="1" applyBorder="1" applyAlignment="1" applyProtection="1">
      <alignment horizontal="left" vertical="center"/>
      <protection hidden="1"/>
    </xf>
    <xf numFmtId="0" fontId="14" fillId="0" borderId="5" xfId="0" applyFont="1" applyBorder="1" applyAlignment="1" applyProtection="1">
      <alignment horizontal="left" vertical="center"/>
      <protection hidden="1"/>
    </xf>
    <xf numFmtId="0" fontId="14" fillId="0" borderId="10" xfId="0" applyFont="1" applyBorder="1" applyAlignment="1" applyProtection="1">
      <alignment horizontal="left" vertical="center"/>
      <protection hidden="1"/>
    </xf>
    <xf numFmtId="0" fontId="16" fillId="4" borderId="12" xfId="0" quotePrefix="1" applyFont="1" applyFill="1" applyBorder="1" applyAlignment="1" applyProtection="1">
      <alignment horizontal="center"/>
      <protection hidden="1"/>
    </xf>
    <xf numFmtId="0" fontId="14" fillId="0" borderId="11" xfId="0" applyFont="1" applyBorder="1" applyAlignment="1" applyProtection="1">
      <alignment horizontal="center" vertical="center" wrapText="1"/>
      <protection hidden="1"/>
    </xf>
    <xf numFmtId="0" fontId="0" fillId="0" borderId="0" xfId="0" applyBorder="1" applyAlignment="1" applyProtection="1">
      <alignment horizontal="center" vertical="top"/>
      <protection hidden="1"/>
    </xf>
    <xf numFmtId="164" fontId="14" fillId="0" borderId="0" xfId="0" applyNumberFormat="1" applyFont="1" applyBorder="1" applyAlignment="1" applyProtection="1">
      <alignment horizontal="left"/>
      <protection hidden="1"/>
    </xf>
    <xf numFmtId="0" fontId="0" fillId="0" borderId="3" xfId="0" applyFont="1" applyBorder="1" applyAlignment="1" applyProtection="1">
      <alignment horizontal="left" vertical="center"/>
      <protection hidden="1"/>
    </xf>
    <xf numFmtId="0" fontId="14" fillId="0" borderId="0" xfId="0" applyFont="1" applyBorder="1" applyAlignment="1" applyProtection="1">
      <alignment horizontal="center" vertical="top" wrapText="1"/>
      <protection hidden="1"/>
    </xf>
    <xf numFmtId="0" fontId="35" fillId="0" borderId="0" xfId="0" applyFont="1" applyAlignment="1" applyProtection="1">
      <alignment horizontal="center" wrapText="1"/>
      <protection hidden="1"/>
    </xf>
    <xf numFmtId="164" fontId="14" fillId="0" borderId="5" xfId="0" applyNumberFormat="1" applyFont="1" applyBorder="1" applyAlignment="1" applyProtection="1">
      <alignment horizontal="center"/>
      <protection hidden="1"/>
    </xf>
    <xf numFmtId="0" fontId="33" fillId="2" borderId="0" xfId="0" applyFont="1" applyFill="1" applyAlignment="1" applyProtection="1">
      <alignment horizontal="center" vertical="center"/>
      <protection hidden="1"/>
    </xf>
    <xf numFmtId="0" fontId="14" fillId="0" borderId="1" xfId="0" applyFont="1" applyFill="1" applyBorder="1" applyAlignment="1" applyProtection="1">
      <alignment horizontal="center" vertical="center"/>
      <protection hidden="1"/>
    </xf>
    <xf numFmtId="0" fontId="14" fillId="0" borderId="11" xfId="0" applyFont="1" applyFill="1" applyBorder="1" applyAlignment="1" applyProtection="1">
      <alignment horizontal="center" vertical="center"/>
      <protection hidden="1"/>
    </xf>
    <xf numFmtId="0" fontId="14" fillId="0" borderId="11" xfId="0" applyFont="1" applyFill="1" applyBorder="1" applyAlignment="1" applyProtection="1">
      <alignment horizontal="center"/>
      <protection hidden="1"/>
    </xf>
    <xf numFmtId="164" fontId="14" fillId="0" borderId="11" xfId="0" applyNumberFormat="1" applyFont="1" applyFill="1" applyBorder="1" applyAlignment="1" applyProtection="1">
      <alignment horizontal="center" vertical="center"/>
      <protection hidden="1"/>
    </xf>
    <xf numFmtId="0" fontId="33" fillId="2" borderId="5" xfId="0" applyFont="1" applyFill="1" applyBorder="1" applyAlignment="1" applyProtection="1">
      <alignment horizontal="center" vertical="center"/>
      <protection hidden="1"/>
    </xf>
    <xf numFmtId="0" fontId="9" fillId="3" borderId="12" xfId="0" applyFont="1" applyFill="1" applyBorder="1" applyAlignment="1" applyProtection="1">
      <alignment horizontal="center"/>
      <protection hidden="1"/>
    </xf>
    <xf numFmtId="0" fontId="9" fillId="3" borderId="1" xfId="0" applyFont="1" applyFill="1" applyBorder="1" applyAlignment="1" applyProtection="1">
      <alignment horizontal="center"/>
      <protection hidden="1"/>
    </xf>
    <xf numFmtId="0" fontId="9" fillId="3" borderId="2" xfId="0" applyFont="1" applyFill="1" applyBorder="1" applyAlignment="1" applyProtection="1">
      <alignment horizontal="center"/>
      <protection hidden="1"/>
    </xf>
    <xf numFmtId="0" fontId="0" fillId="3" borderId="6" xfId="0" applyFont="1" applyFill="1" applyBorder="1" applyAlignment="1" applyProtection="1">
      <alignment horizontal="left" vertical="justify" wrapText="1"/>
      <protection hidden="1"/>
    </xf>
    <xf numFmtId="0" fontId="0" fillId="3" borderId="3" xfId="0" applyFont="1" applyFill="1" applyBorder="1" applyAlignment="1" applyProtection="1">
      <alignment horizontal="left" vertical="justify" wrapText="1"/>
      <protection hidden="1"/>
    </xf>
    <xf numFmtId="0" fontId="0" fillId="3" borderId="4" xfId="0" applyFont="1" applyFill="1" applyBorder="1" applyAlignment="1" applyProtection="1">
      <alignment horizontal="left" vertical="justify" wrapText="1"/>
      <protection hidden="1"/>
    </xf>
    <xf numFmtId="0" fontId="0" fillId="3" borderId="7" xfId="0" applyFont="1" applyFill="1" applyBorder="1" applyAlignment="1" applyProtection="1">
      <alignment horizontal="left" vertical="justify" wrapText="1"/>
      <protection hidden="1"/>
    </xf>
    <xf numFmtId="0" fontId="0" fillId="3" borderId="0" xfId="0" applyFont="1" applyFill="1" applyBorder="1" applyAlignment="1" applyProtection="1">
      <alignment horizontal="left" vertical="justify" wrapText="1"/>
      <protection hidden="1"/>
    </xf>
    <xf numFmtId="0" fontId="0" fillId="3" borderId="8" xfId="0" applyFont="1" applyFill="1" applyBorder="1" applyAlignment="1" applyProtection="1">
      <alignment horizontal="left" vertical="justify" wrapText="1"/>
      <protection hidden="1"/>
    </xf>
    <xf numFmtId="0" fontId="0" fillId="3" borderId="9" xfId="0" applyFont="1" applyFill="1" applyBorder="1" applyAlignment="1" applyProtection="1">
      <alignment horizontal="left" vertical="justify" wrapText="1"/>
      <protection hidden="1"/>
    </xf>
    <xf numFmtId="0" fontId="0" fillId="3" borderId="5" xfId="0" applyFont="1" applyFill="1" applyBorder="1" applyAlignment="1" applyProtection="1">
      <alignment horizontal="left" vertical="justify" wrapText="1"/>
      <protection hidden="1"/>
    </xf>
    <xf numFmtId="0" fontId="0" fillId="3" borderId="10" xfId="0" applyFont="1" applyFill="1" applyBorder="1" applyAlignment="1" applyProtection="1">
      <alignment horizontal="left" vertical="justify" wrapText="1"/>
      <protection hidden="1"/>
    </xf>
    <xf numFmtId="166" fontId="14" fillId="3" borderId="0" xfId="0" applyNumberFormat="1" applyFont="1" applyFill="1" applyBorder="1" applyAlignment="1" applyProtection="1">
      <alignment horizontal="center"/>
      <protection hidden="1"/>
    </xf>
    <xf numFmtId="0" fontId="0" fillId="3" borderId="12" xfId="0" applyFill="1" applyBorder="1" applyAlignment="1" applyProtection="1">
      <alignment horizontal="center"/>
      <protection hidden="1"/>
    </xf>
    <xf numFmtId="0" fontId="0" fillId="3" borderId="1" xfId="0" applyFill="1" applyBorder="1" applyAlignment="1" applyProtection="1">
      <alignment horizontal="center"/>
      <protection hidden="1"/>
    </xf>
    <xf numFmtId="0" fontId="0" fillId="3" borderId="2" xfId="0" applyFill="1" applyBorder="1" applyAlignment="1" applyProtection="1">
      <alignment horizontal="center"/>
      <protection hidden="1"/>
    </xf>
    <xf numFmtId="0" fontId="19" fillId="3" borderId="12" xfId="0" applyFont="1" applyFill="1" applyBorder="1" applyAlignment="1" applyProtection="1">
      <alignment horizontal="left"/>
      <protection hidden="1"/>
    </xf>
    <xf numFmtId="0" fontId="19" fillId="3" borderId="1" xfId="0" applyFont="1" applyFill="1" applyBorder="1" applyAlignment="1" applyProtection="1">
      <alignment horizontal="left"/>
      <protection hidden="1"/>
    </xf>
    <xf numFmtId="0" fontId="19" fillId="3" borderId="2" xfId="0" applyFont="1" applyFill="1" applyBorder="1" applyAlignment="1" applyProtection="1">
      <alignment horizontal="left"/>
      <protection hidden="1"/>
    </xf>
    <xf numFmtId="0" fontId="0" fillId="3" borderId="11" xfId="0" applyFill="1" applyBorder="1" applyAlignment="1" applyProtection="1">
      <alignment horizontal="center"/>
      <protection hidden="1"/>
    </xf>
    <xf numFmtId="0" fontId="21" fillId="3" borderId="12" xfId="0" applyFont="1" applyFill="1" applyBorder="1" applyAlignment="1" applyProtection="1">
      <alignment horizontal="center"/>
      <protection hidden="1"/>
    </xf>
    <xf numFmtId="0" fontId="21" fillId="3" borderId="1" xfId="0" applyFont="1" applyFill="1" applyBorder="1" applyAlignment="1" applyProtection="1">
      <alignment horizontal="center"/>
      <protection hidden="1"/>
    </xf>
    <xf numFmtId="0" fontId="21" fillId="3" borderId="2" xfId="0" applyFont="1" applyFill="1" applyBorder="1" applyAlignment="1" applyProtection="1">
      <alignment horizontal="center"/>
      <protection hidden="1"/>
    </xf>
    <xf numFmtId="0" fontId="9" fillId="3" borderId="0" xfId="0" applyFont="1" applyFill="1" applyAlignment="1" applyProtection="1">
      <alignment horizontal="center"/>
      <protection hidden="1"/>
    </xf>
    <xf numFmtId="0" fontId="0" fillId="0" borderId="0" xfId="0" applyAlignment="1">
      <alignment horizontal="justify" vertical="justify" wrapText="1"/>
    </xf>
    <xf numFmtId="0" fontId="0" fillId="0" borderId="0" xfId="0" applyAlignment="1">
      <alignment horizontal="justify" vertical="justify"/>
    </xf>
  </cellXfs>
  <cellStyles count="2">
    <cellStyle name="Normal" xfId="0" builtinId="0"/>
    <cellStyle name="Percent" xfId="1" builtinId="5"/>
  </cellStyles>
  <dxfs count="56">
    <dxf>
      <fill>
        <patternFill>
          <bgColor theme="9"/>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theme="9"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1933575</xdr:colOff>
      <xdr:row>219</xdr:row>
      <xdr:rowOff>28575</xdr:rowOff>
    </xdr:from>
    <xdr:to>
      <xdr:col>36</xdr:col>
      <xdr:colOff>0</xdr:colOff>
      <xdr:row>220</xdr:row>
      <xdr:rowOff>0</xdr:rowOff>
    </xdr:to>
    <xdr:sp macro="" textlink="">
      <xdr:nvSpPr>
        <xdr:cNvPr id="632953" name="Rectangle 1">
          <a:extLst>
            <a:ext uri="{FF2B5EF4-FFF2-40B4-BE49-F238E27FC236}">
              <a16:creationId xmlns="" xmlns:a16="http://schemas.microsoft.com/office/drawing/2014/main" id="{F8A78FC8-92CC-7865-249C-59CC53F375CE}"/>
            </a:ext>
          </a:extLst>
        </xdr:cNvPr>
        <xdr:cNvSpPr>
          <a:spLocks noChangeArrowheads="1"/>
        </xdr:cNvSpPr>
      </xdr:nvSpPr>
      <xdr:spPr bwMode="auto">
        <a:xfrm>
          <a:off x="6705600" y="51187350"/>
          <a:ext cx="0" cy="16192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sp>
    <xdr:clientData/>
  </xdr:twoCellAnchor>
  <xdr:twoCellAnchor editAs="oneCell">
    <xdr:from>
      <xdr:col>1</xdr:col>
      <xdr:colOff>66675</xdr:colOff>
      <xdr:row>0</xdr:row>
      <xdr:rowOff>152400</xdr:rowOff>
    </xdr:from>
    <xdr:to>
      <xdr:col>12</xdr:col>
      <xdr:colOff>104775</xdr:colOff>
      <xdr:row>3</xdr:row>
      <xdr:rowOff>190500</xdr:rowOff>
    </xdr:to>
    <xdr:pic>
      <xdr:nvPicPr>
        <xdr:cNvPr id="632954" name="Picture 1">
          <a:extLst>
            <a:ext uri="{FF2B5EF4-FFF2-40B4-BE49-F238E27FC236}">
              <a16:creationId xmlns="" xmlns:a16="http://schemas.microsoft.com/office/drawing/2014/main" id="{8CAAB046-924D-EE29-EFBC-D615A44A81FD}"/>
            </a:ext>
          </a:extLst>
        </xdr:cNvPr>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247650" y="152400"/>
          <a:ext cx="2028825" cy="6762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66675</xdr:colOff>
      <xdr:row>35</xdr:row>
      <xdr:rowOff>85725</xdr:rowOff>
    </xdr:from>
    <xdr:to>
      <xdr:col>12</xdr:col>
      <xdr:colOff>104775</xdr:colOff>
      <xdr:row>39</xdr:row>
      <xdr:rowOff>0</xdr:rowOff>
    </xdr:to>
    <xdr:pic>
      <xdr:nvPicPr>
        <xdr:cNvPr id="632955" name="Picture 102">
          <a:extLst>
            <a:ext uri="{FF2B5EF4-FFF2-40B4-BE49-F238E27FC236}">
              <a16:creationId xmlns="" xmlns:a16="http://schemas.microsoft.com/office/drawing/2014/main" id="{B4CDE56D-2128-F1E6-B30A-A2027F551BCE}"/>
            </a:ext>
          </a:extLst>
        </xdr:cNvPr>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247650" y="9410700"/>
          <a:ext cx="2028825" cy="6762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133350</xdr:colOff>
      <xdr:row>70</xdr:row>
      <xdr:rowOff>85725</xdr:rowOff>
    </xdr:from>
    <xdr:to>
      <xdr:col>12</xdr:col>
      <xdr:colOff>171450</xdr:colOff>
      <xdr:row>76</xdr:row>
      <xdr:rowOff>19050</xdr:rowOff>
    </xdr:to>
    <xdr:pic>
      <xdr:nvPicPr>
        <xdr:cNvPr id="632956" name="Picture 103">
          <a:extLst>
            <a:ext uri="{FF2B5EF4-FFF2-40B4-BE49-F238E27FC236}">
              <a16:creationId xmlns="" xmlns:a16="http://schemas.microsoft.com/office/drawing/2014/main" id="{D671CBE1-7F53-8D1F-E45E-A9CF761A6A88}"/>
            </a:ext>
          </a:extLst>
        </xdr:cNvPr>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314325" y="19973925"/>
          <a:ext cx="2028825" cy="6762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28575</xdr:colOff>
      <xdr:row>117</xdr:row>
      <xdr:rowOff>66675</xdr:rowOff>
    </xdr:from>
    <xdr:to>
      <xdr:col>12</xdr:col>
      <xdr:colOff>66675</xdr:colOff>
      <xdr:row>120</xdr:row>
      <xdr:rowOff>19050</xdr:rowOff>
    </xdr:to>
    <xdr:pic>
      <xdr:nvPicPr>
        <xdr:cNvPr id="632957" name="Picture 104">
          <a:extLst>
            <a:ext uri="{FF2B5EF4-FFF2-40B4-BE49-F238E27FC236}">
              <a16:creationId xmlns="" xmlns:a16="http://schemas.microsoft.com/office/drawing/2014/main" id="{BC79B5C8-9B98-28A7-1CB1-4D3769A8B3FC}"/>
            </a:ext>
          </a:extLst>
        </xdr:cNvPr>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209550" y="30251400"/>
          <a:ext cx="2028825" cy="6762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166</xdr:row>
      <xdr:rowOff>66675</xdr:rowOff>
    </xdr:from>
    <xdr:to>
      <xdr:col>12</xdr:col>
      <xdr:colOff>133350</xdr:colOff>
      <xdr:row>170</xdr:row>
      <xdr:rowOff>133350</xdr:rowOff>
    </xdr:to>
    <xdr:pic>
      <xdr:nvPicPr>
        <xdr:cNvPr id="632958" name="Picture 105">
          <a:extLst>
            <a:ext uri="{FF2B5EF4-FFF2-40B4-BE49-F238E27FC236}">
              <a16:creationId xmlns="" xmlns:a16="http://schemas.microsoft.com/office/drawing/2014/main" id="{D8A7D39B-77AB-6CCE-801E-F76E0E6CBAE0}"/>
            </a:ext>
          </a:extLst>
        </xdr:cNvPr>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276225" y="40957500"/>
          <a:ext cx="2028825" cy="6762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36</xdr:col>
      <xdr:colOff>0</xdr:colOff>
      <xdr:row>85</xdr:row>
      <xdr:rowOff>28575</xdr:rowOff>
    </xdr:from>
    <xdr:to>
      <xdr:col>255</xdr:col>
      <xdr:colOff>0</xdr:colOff>
      <xdr:row>86</xdr:row>
      <xdr:rowOff>0</xdr:rowOff>
    </xdr:to>
    <xdr:sp macro="" textlink="">
      <xdr:nvSpPr>
        <xdr:cNvPr id="634169" name="Rectangle 1">
          <a:extLst>
            <a:ext uri="{FF2B5EF4-FFF2-40B4-BE49-F238E27FC236}">
              <a16:creationId xmlns="" xmlns:a16="http://schemas.microsoft.com/office/drawing/2014/main" id="{C8C11E89-9C42-0EB4-A473-B252455A3358}"/>
            </a:ext>
          </a:extLst>
        </xdr:cNvPr>
        <xdr:cNvSpPr>
          <a:spLocks noChangeArrowheads="1"/>
        </xdr:cNvSpPr>
      </xdr:nvSpPr>
      <xdr:spPr bwMode="auto">
        <a:xfrm>
          <a:off x="6515100" y="20583525"/>
          <a:ext cx="0" cy="16192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sp>
    <xdr:clientData/>
  </xdr:twoCellAnchor>
  <xdr:twoCellAnchor>
    <xdr:from>
      <xdr:col>2</xdr:col>
      <xdr:colOff>133350</xdr:colOff>
      <xdr:row>133</xdr:row>
      <xdr:rowOff>95250</xdr:rowOff>
    </xdr:from>
    <xdr:to>
      <xdr:col>5</xdr:col>
      <xdr:colOff>57150</xdr:colOff>
      <xdr:row>135</xdr:row>
      <xdr:rowOff>114300</xdr:rowOff>
    </xdr:to>
    <xdr:grpSp>
      <xdr:nvGrpSpPr>
        <xdr:cNvPr id="634170" name="Group 23">
          <a:extLst>
            <a:ext uri="{FF2B5EF4-FFF2-40B4-BE49-F238E27FC236}">
              <a16:creationId xmlns="" xmlns:a16="http://schemas.microsoft.com/office/drawing/2014/main" id="{409E8666-BAA5-D13C-0C19-53E1E508D130}"/>
            </a:ext>
          </a:extLst>
        </xdr:cNvPr>
        <xdr:cNvGrpSpPr>
          <a:grpSpLocks/>
        </xdr:cNvGrpSpPr>
      </xdr:nvGrpSpPr>
      <xdr:grpSpPr bwMode="auto">
        <a:xfrm>
          <a:off x="495300" y="20745450"/>
          <a:ext cx="466725" cy="0"/>
          <a:chOff x="1442" y="870"/>
          <a:chExt cx="910" cy="783"/>
        </a:xfrm>
      </xdr:grpSpPr>
      <xdr:sp macro="" textlink="">
        <xdr:nvSpPr>
          <xdr:cNvPr id="634187" name="Freeform 24">
            <a:extLst>
              <a:ext uri="{FF2B5EF4-FFF2-40B4-BE49-F238E27FC236}">
                <a16:creationId xmlns="" xmlns:a16="http://schemas.microsoft.com/office/drawing/2014/main" id="{DD15E6B5-79B1-C50A-98EF-4D1AA45462C6}"/>
              </a:ext>
            </a:extLst>
          </xdr:cNvPr>
          <xdr:cNvSpPr>
            <a:spLocks/>
          </xdr:cNvSpPr>
        </xdr:nvSpPr>
        <xdr:spPr bwMode="auto">
          <a:xfrm>
            <a:off x="1442" y="870"/>
            <a:ext cx="910" cy="783"/>
          </a:xfrm>
          <a:custGeom>
            <a:avLst/>
            <a:gdLst>
              <a:gd name="T0" fmla="*/ 0 w 910"/>
              <a:gd name="T1" fmla="*/ 391 h 783"/>
              <a:gd name="T2" fmla="*/ 5 w 910"/>
              <a:gd name="T3" fmla="*/ 454 h 783"/>
              <a:gd name="T4" fmla="*/ 23 w 910"/>
              <a:gd name="T5" fmla="*/ 515 h 783"/>
              <a:gd name="T6" fmla="*/ 50 w 910"/>
              <a:gd name="T7" fmla="*/ 571 h 783"/>
              <a:gd name="T8" fmla="*/ 87 w 910"/>
              <a:gd name="T9" fmla="*/ 622 h 783"/>
              <a:gd name="T10" fmla="*/ 133 w 910"/>
              <a:gd name="T11" fmla="*/ 668 h 783"/>
              <a:gd name="T12" fmla="*/ 186 w 910"/>
              <a:gd name="T13" fmla="*/ 707 h 783"/>
              <a:gd name="T14" fmla="*/ 245 w 910"/>
              <a:gd name="T15" fmla="*/ 739 h 783"/>
              <a:gd name="T16" fmla="*/ 311 w 910"/>
              <a:gd name="T17" fmla="*/ 762 h 783"/>
              <a:gd name="T18" fmla="*/ 381 w 910"/>
              <a:gd name="T19" fmla="*/ 777 h 783"/>
              <a:gd name="T20" fmla="*/ 455 w 910"/>
              <a:gd name="T21" fmla="*/ 782 h 783"/>
              <a:gd name="T22" fmla="*/ 528 w 910"/>
              <a:gd name="T23" fmla="*/ 777 h 783"/>
              <a:gd name="T24" fmla="*/ 598 w 910"/>
              <a:gd name="T25" fmla="*/ 762 h 783"/>
              <a:gd name="T26" fmla="*/ 664 w 910"/>
              <a:gd name="T27" fmla="*/ 739 h 783"/>
              <a:gd name="T28" fmla="*/ 723 w 910"/>
              <a:gd name="T29" fmla="*/ 707 h 783"/>
              <a:gd name="T30" fmla="*/ 776 w 910"/>
              <a:gd name="T31" fmla="*/ 668 h 783"/>
              <a:gd name="T32" fmla="*/ 822 w 910"/>
              <a:gd name="T33" fmla="*/ 622 h 783"/>
              <a:gd name="T34" fmla="*/ 859 w 910"/>
              <a:gd name="T35" fmla="*/ 571 h 783"/>
              <a:gd name="T36" fmla="*/ 886 w 910"/>
              <a:gd name="T37" fmla="*/ 515 h 783"/>
              <a:gd name="T38" fmla="*/ 904 w 910"/>
              <a:gd name="T39" fmla="*/ 454 h 783"/>
              <a:gd name="T40" fmla="*/ 910 w 910"/>
              <a:gd name="T41" fmla="*/ 391 h 783"/>
              <a:gd name="T42" fmla="*/ 904 w 910"/>
              <a:gd name="T43" fmla="*/ 327 h 783"/>
              <a:gd name="T44" fmla="*/ 886 w 910"/>
              <a:gd name="T45" fmla="*/ 267 h 783"/>
              <a:gd name="T46" fmla="*/ 859 w 910"/>
              <a:gd name="T47" fmla="*/ 211 h 783"/>
              <a:gd name="T48" fmla="*/ 822 w 910"/>
              <a:gd name="T49" fmla="*/ 160 h 783"/>
              <a:gd name="T50" fmla="*/ 776 w 910"/>
              <a:gd name="T51" fmla="*/ 114 h 783"/>
              <a:gd name="T52" fmla="*/ 723 w 910"/>
              <a:gd name="T53" fmla="*/ 75 h 783"/>
              <a:gd name="T54" fmla="*/ 664 w 910"/>
              <a:gd name="T55" fmla="*/ 43 h 783"/>
              <a:gd name="T56" fmla="*/ 598 w 910"/>
              <a:gd name="T57" fmla="*/ 19 h 783"/>
              <a:gd name="T58" fmla="*/ 528 w 910"/>
              <a:gd name="T59" fmla="*/ 5 h 783"/>
              <a:gd name="T60" fmla="*/ 455 w 910"/>
              <a:gd name="T61" fmla="*/ 0 h 783"/>
              <a:gd name="T62" fmla="*/ 381 w 910"/>
              <a:gd name="T63" fmla="*/ 5 h 783"/>
              <a:gd name="T64" fmla="*/ 311 w 910"/>
              <a:gd name="T65" fmla="*/ 19 h 783"/>
              <a:gd name="T66" fmla="*/ 245 w 910"/>
              <a:gd name="T67" fmla="*/ 43 h 783"/>
              <a:gd name="T68" fmla="*/ 186 w 910"/>
              <a:gd name="T69" fmla="*/ 75 h 783"/>
              <a:gd name="T70" fmla="*/ 133 w 910"/>
              <a:gd name="T71" fmla="*/ 114 h 783"/>
              <a:gd name="T72" fmla="*/ 87 w 910"/>
              <a:gd name="T73" fmla="*/ 160 h 783"/>
              <a:gd name="T74" fmla="*/ 50 w 910"/>
              <a:gd name="T75" fmla="*/ 211 h 783"/>
              <a:gd name="T76" fmla="*/ 23 w 910"/>
              <a:gd name="T77" fmla="*/ 267 h 783"/>
              <a:gd name="T78" fmla="*/ 5 w 910"/>
              <a:gd name="T79" fmla="*/ 327 h 783"/>
              <a:gd name="T80" fmla="*/ 0 w 910"/>
              <a:gd name="T81" fmla="*/ 391 h 783"/>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910"/>
              <a:gd name="T124" fmla="*/ 0 h 783"/>
              <a:gd name="T125" fmla="*/ 910 w 910"/>
              <a:gd name="T126" fmla="*/ 783 h 783"/>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910" h="783">
                <a:moveTo>
                  <a:pt x="0" y="391"/>
                </a:moveTo>
                <a:lnTo>
                  <a:pt x="0" y="391"/>
                </a:lnTo>
                <a:lnTo>
                  <a:pt x="1" y="423"/>
                </a:lnTo>
                <a:lnTo>
                  <a:pt x="5" y="454"/>
                </a:lnTo>
                <a:lnTo>
                  <a:pt x="13" y="485"/>
                </a:lnTo>
                <a:lnTo>
                  <a:pt x="23" y="515"/>
                </a:lnTo>
                <a:lnTo>
                  <a:pt x="35" y="543"/>
                </a:lnTo>
                <a:lnTo>
                  <a:pt x="50" y="571"/>
                </a:lnTo>
                <a:lnTo>
                  <a:pt x="68" y="597"/>
                </a:lnTo>
                <a:lnTo>
                  <a:pt x="87" y="622"/>
                </a:lnTo>
                <a:lnTo>
                  <a:pt x="109" y="646"/>
                </a:lnTo>
                <a:lnTo>
                  <a:pt x="133" y="668"/>
                </a:lnTo>
                <a:lnTo>
                  <a:pt x="158" y="688"/>
                </a:lnTo>
                <a:lnTo>
                  <a:pt x="186" y="707"/>
                </a:lnTo>
                <a:lnTo>
                  <a:pt x="215" y="724"/>
                </a:lnTo>
                <a:lnTo>
                  <a:pt x="245" y="739"/>
                </a:lnTo>
                <a:lnTo>
                  <a:pt x="277" y="752"/>
                </a:lnTo>
                <a:lnTo>
                  <a:pt x="311" y="762"/>
                </a:lnTo>
                <a:lnTo>
                  <a:pt x="345" y="771"/>
                </a:lnTo>
                <a:lnTo>
                  <a:pt x="381" y="777"/>
                </a:lnTo>
                <a:lnTo>
                  <a:pt x="417" y="781"/>
                </a:lnTo>
                <a:lnTo>
                  <a:pt x="455" y="782"/>
                </a:lnTo>
                <a:lnTo>
                  <a:pt x="492" y="781"/>
                </a:lnTo>
                <a:lnTo>
                  <a:pt x="528" y="777"/>
                </a:lnTo>
                <a:lnTo>
                  <a:pt x="564" y="771"/>
                </a:lnTo>
                <a:lnTo>
                  <a:pt x="598" y="762"/>
                </a:lnTo>
                <a:lnTo>
                  <a:pt x="632" y="752"/>
                </a:lnTo>
                <a:lnTo>
                  <a:pt x="664" y="739"/>
                </a:lnTo>
                <a:lnTo>
                  <a:pt x="694" y="724"/>
                </a:lnTo>
                <a:lnTo>
                  <a:pt x="723" y="707"/>
                </a:lnTo>
                <a:lnTo>
                  <a:pt x="751" y="688"/>
                </a:lnTo>
                <a:lnTo>
                  <a:pt x="776" y="668"/>
                </a:lnTo>
                <a:lnTo>
                  <a:pt x="800" y="646"/>
                </a:lnTo>
                <a:lnTo>
                  <a:pt x="822" y="622"/>
                </a:lnTo>
                <a:lnTo>
                  <a:pt x="841" y="597"/>
                </a:lnTo>
                <a:lnTo>
                  <a:pt x="859" y="571"/>
                </a:lnTo>
                <a:lnTo>
                  <a:pt x="874" y="543"/>
                </a:lnTo>
                <a:lnTo>
                  <a:pt x="886" y="515"/>
                </a:lnTo>
                <a:lnTo>
                  <a:pt x="896" y="485"/>
                </a:lnTo>
                <a:lnTo>
                  <a:pt x="904" y="454"/>
                </a:lnTo>
                <a:lnTo>
                  <a:pt x="908" y="423"/>
                </a:lnTo>
                <a:lnTo>
                  <a:pt x="910" y="391"/>
                </a:lnTo>
                <a:lnTo>
                  <a:pt x="908" y="359"/>
                </a:lnTo>
                <a:lnTo>
                  <a:pt x="904" y="327"/>
                </a:lnTo>
                <a:lnTo>
                  <a:pt x="896" y="297"/>
                </a:lnTo>
                <a:lnTo>
                  <a:pt x="886" y="267"/>
                </a:lnTo>
                <a:lnTo>
                  <a:pt x="874" y="239"/>
                </a:lnTo>
                <a:lnTo>
                  <a:pt x="859" y="211"/>
                </a:lnTo>
                <a:lnTo>
                  <a:pt x="841" y="185"/>
                </a:lnTo>
                <a:lnTo>
                  <a:pt x="822" y="160"/>
                </a:lnTo>
                <a:lnTo>
                  <a:pt x="800" y="136"/>
                </a:lnTo>
                <a:lnTo>
                  <a:pt x="776" y="114"/>
                </a:lnTo>
                <a:lnTo>
                  <a:pt x="751" y="94"/>
                </a:lnTo>
                <a:lnTo>
                  <a:pt x="723" y="75"/>
                </a:lnTo>
                <a:lnTo>
                  <a:pt x="694" y="58"/>
                </a:lnTo>
                <a:lnTo>
                  <a:pt x="664" y="43"/>
                </a:lnTo>
                <a:lnTo>
                  <a:pt x="632" y="30"/>
                </a:lnTo>
                <a:lnTo>
                  <a:pt x="598" y="19"/>
                </a:lnTo>
                <a:lnTo>
                  <a:pt x="564" y="11"/>
                </a:lnTo>
                <a:lnTo>
                  <a:pt x="528" y="5"/>
                </a:lnTo>
                <a:lnTo>
                  <a:pt x="492" y="1"/>
                </a:lnTo>
                <a:lnTo>
                  <a:pt x="455" y="0"/>
                </a:lnTo>
                <a:lnTo>
                  <a:pt x="417" y="1"/>
                </a:lnTo>
                <a:lnTo>
                  <a:pt x="381" y="5"/>
                </a:lnTo>
                <a:lnTo>
                  <a:pt x="345" y="11"/>
                </a:lnTo>
                <a:lnTo>
                  <a:pt x="311" y="19"/>
                </a:lnTo>
                <a:lnTo>
                  <a:pt x="277" y="30"/>
                </a:lnTo>
                <a:lnTo>
                  <a:pt x="245" y="43"/>
                </a:lnTo>
                <a:lnTo>
                  <a:pt x="215" y="58"/>
                </a:lnTo>
                <a:lnTo>
                  <a:pt x="186" y="75"/>
                </a:lnTo>
                <a:lnTo>
                  <a:pt x="158" y="94"/>
                </a:lnTo>
                <a:lnTo>
                  <a:pt x="133" y="114"/>
                </a:lnTo>
                <a:lnTo>
                  <a:pt x="109" y="136"/>
                </a:lnTo>
                <a:lnTo>
                  <a:pt x="87" y="160"/>
                </a:lnTo>
                <a:lnTo>
                  <a:pt x="68" y="185"/>
                </a:lnTo>
                <a:lnTo>
                  <a:pt x="50" y="211"/>
                </a:lnTo>
                <a:lnTo>
                  <a:pt x="35" y="239"/>
                </a:lnTo>
                <a:lnTo>
                  <a:pt x="23" y="267"/>
                </a:lnTo>
                <a:lnTo>
                  <a:pt x="13" y="297"/>
                </a:lnTo>
                <a:lnTo>
                  <a:pt x="5" y="327"/>
                </a:lnTo>
                <a:lnTo>
                  <a:pt x="1" y="359"/>
                </a:lnTo>
                <a:lnTo>
                  <a:pt x="0" y="391"/>
                </a:lnTo>
                <a:close/>
              </a:path>
            </a:pathLst>
          </a:custGeom>
          <a:solidFill>
            <a:srgbClr val="363435"/>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634188" name="Freeform 25">
            <a:extLst>
              <a:ext uri="{FF2B5EF4-FFF2-40B4-BE49-F238E27FC236}">
                <a16:creationId xmlns="" xmlns:a16="http://schemas.microsoft.com/office/drawing/2014/main" id="{B776FC61-C545-091D-0239-445FD999D4BC}"/>
              </a:ext>
            </a:extLst>
          </xdr:cNvPr>
          <xdr:cNvSpPr>
            <a:spLocks/>
          </xdr:cNvSpPr>
        </xdr:nvSpPr>
        <xdr:spPr bwMode="auto">
          <a:xfrm>
            <a:off x="1841" y="961"/>
            <a:ext cx="107" cy="607"/>
          </a:xfrm>
          <a:custGeom>
            <a:avLst/>
            <a:gdLst>
              <a:gd name="T0" fmla="*/ 0 w 107"/>
              <a:gd name="T1" fmla="*/ 34 h 607"/>
              <a:gd name="T2" fmla="*/ 0 w 107"/>
              <a:gd name="T3" fmla="*/ 34 h 607"/>
              <a:gd name="T4" fmla="*/ 0 w 107"/>
              <a:gd name="T5" fmla="*/ 607 h 607"/>
              <a:gd name="T6" fmla="*/ 106 w 107"/>
              <a:gd name="T7" fmla="*/ 571 h 607"/>
              <a:gd name="T8" fmla="*/ 106 w 107"/>
              <a:gd name="T9" fmla="*/ 0 h 607"/>
              <a:gd name="T10" fmla="*/ 0 w 107"/>
              <a:gd name="T11" fmla="*/ 34 h 607"/>
              <a:gd name="T12" fmla="*/ 0 60000 65536"/>
              <a:gd name="T13" fmla="*/ 0 60000 65536"/>
              <a:gd name="T14" fmla="*/ 0 60000 65536"/>
              <a:gd name="T15" fmla="*/ 0 60000 65536"/>
              <a:gd name="T16" fmla="*/ 0 60000 65536"/>
              <a:gd name="T17" fmla="*/ 0 60000 65536"/>
              <a:gd name="T18" fmla="*/ 0 w 107"/>
              <a:gd name="T19" fmla="*/ 0 h 607"/>
              <a:gd name="T20" fmla="*/ 107 w 107"/>
              <a:gd name="T21" fmla="*/ 607 h 607"/>
            </a:gdLst>
            <a:ahLst/>
            <a:cxnLst>
              <a:cxn ang="T12">
                <a:pos x="T0" y="T1"/>
              </a:cxn>
              <a:cxn ang="T13">
                <a:pos x="T2" y="T3"/>
              </a:cxn>
              <a:cxn ang="T14">
                <a:pos x="T4" y="T5"/>
              </a:cxn>
              <a:cxn ang="T15">
                <a:pos x="T6" y="T7"/>
              </a:cxn>
              <a:cxn ang="T16">
                <a:pos x="T8" y="T9"/>
              </a:cxn>
              <a:cxn ang="T17">
                <a:pos x="T10" y="T11"/>
              </a:cxn>
            </a:cxnLst>
            <a:rect l="T18" t="T19" r="T20" b="T21"/>
            <a:pathLst>
              <a:path w="107" h="607">
                <a:moveTo>
                  <a:pt x="0" y="34"/>
                </a:moveTo>
                <a:lnTo>
                  <a:pt x="0" y="34"/>
                </a:lnTo>
                <a:lnTo>
                  <a:pt x="0" y="607"/>
                </a:lnTo>
                <a:lnTo>
                  <a:pt x="106" y="571"/>
                </a:lnTo>
                <a:lnTo>
                  <a:pt x="106" y="0"/>
                </a:lnTo>
                <a:lnTo>
                  <a:pt x="0" y="34"/>
                </a:lnTo>
                <a:close/>
              </a:path>
            </a:pathLst>
          </a:custGeom>
          <a:solidFill>
            <a:srgbClr val="D1D2D4"/>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634189" name="Freeform 26">
            <a:extLst>
              <a:ext uri="{FF2B5EF4-FFF2-40B4-BE49-F238E27FC236}">
                <a16:creationId xmlns="" xmlns:a16="http://schemas.microsoft.com/office/drawing/2014/main" id="{D7A99643-2305-AA2C-2582-77619A2DC865}"/>
              </a:ext>
            </a:extLst>
          </xdr:cNvPr>
          <xdr:cNvSpPr>
            <a:spLocks/>
          </xdr:cNvSpPr>
        </xdr:nvSpPr>
        <xdr:spPr bwMode="auto">
          <a:xfrm>
            <a:off x="1558" y="1056"/>
            <a:ext cx="679" cy="408"/>
          </a:xfrm>
          <a:custGeom>
            <a:avLst/>
            <a:gdLst>
              <a:gd name="T0" fmla="*/ 52 w 679"/>
              <a:gd name="T1" fmla="*/ 154 h 408"/>
              <a:gd name="T2" fmla="*/ 101 w 679"/>
              <a:gd name="T3" fmla="*/ 118 h 408"/>
              <a:gd name="T4" fmla="*/ 171 w 679"/>
              <a:gd name="T5" fmla="*/ 107 h 408"/>
              <a:gd name="T6" fmla="*/ 230 w 679"/>
              <a:gd name="T7" fmla="*/ 117 h 408"/>
              <a:gd name="T8" fmla="*/ 283 w 679"/>
              <a:gd name="T9" fmla="*/ 139 h 408"/>
              <a:gd name="T10" fmla="*/ 270 w 679"/>
              <a:gd name="T11" fmla="*/ 48 h 408"/>
              <a:gd name="T12" fmla="*/ 219 w 679"/>
              <a:gd name="T13" fmla="*/ 14 h 408"/>
              <a:gd name="T14" fmla="*/ 158 w 679"/>
              <a:gd name="T15" fmla="*/ 0 h 408"/>
              <a:gd name="T16" fmla="*/ 94 w 679"/>
              <a:gd name="T17" fmla="*/ 13 h 408"/>
              <a:gd name="T18" fmla="*/ 44 w 679"/>
              <a:gd name="T19" fmla="*/ 54 h 408"/>
              <a:gd name="T20" fmla="*/ 13 w 679"/>
              <a:gd name="T21" fmla="*/ 112 h 408"/>
              <a:gd name="T22" fmla="*/ 0 w 679"/>
              <a:gd name="T23" fmla="*/ 177 h 408"/>
              <a:gd name="T24" fmla="*/ 2 w 679"/>
              <a:gd name="T25" fmla="*/ 232 h 408"/>
              <a:gd name="T26" fmla="*/ 19 w 679"/>
              <a:gd name="T27" fmla="*/ 296 h 408"/>
              <a:gd name="T28" fmla="*/ 52 w 679"/>
              <a:gd name="T29" fmla="*/ 352 h 408"/>
              <a:gd name="T30" fmla="*/ 104 w 679"/>
              <a:gd name="T31" fmla="*/ 392 h 408"/>
              <a:gd name="T32" fmla="*/ 173 w 679"/>
              <a:gd name="T33" fmla="*/ 407 h 408"/>
              <a:gd name="T34" fmla="*/ 223 w 679"/>
              <a:gd name="T35" fmla="*/ 399 h 408"/>
              <a:gd name="T36" fmla="*/ 276 w 679"/>
              <a:gd name="T37" fmla="*/ 370 h 408"/>
              <a:gd name="T38" fmla="*/ 319 w 679"/>
              <a:gd name="T39" fmla="*/ 327 h 408"/>
              <a:gd name="T40" fmla="*/ 350 w 679"/>
              <a:gd name="T41" fmla="*/ 290 h 408"/>
              <a:gd name="T42" fmla="*/ 387 w 679"/>
              <a:gd name="T43" fmla="*/ 241 h 408"/>
              <a:gd name="T44" fmla="*/ 413 w 679"/>
              <a:gd name="T45" fmla="*/ 207 h 408"/>
              <a:gd name="T46" fmla="*/ 454 w 679"/>
              <a:gd name="T47" fmla="*/ 159 h 408"/>
              <a:gd name="T48" fmla="*/ 506 w 679"/>
              <a:gd name="T49" fmla="*/ 126 h 408"/>
              <a:gd name="T50" fmla="*/ 565 w 679"/>
              <a:gd name="T51" fmla="*/ 120 h 408"/>
              <a:gd name="T52" fmla="*/ 621 w 679"/>
              <a:gd name="T53" fmla="*/ 146 h 408"/>
              <a:gd name="T54" fmla="*/ 676 w 679"/>
              <a:gd name="T55" fmla="*/ 148 h 408"/>
              <a:gd name="T56" fmla="*/ 652 w 679"/>
              <a:gd name="T57" fmla="*/ 88 h 408"/>
              <a:gd name="T58" fmla="*/ 613 w 679"/>
              <a:gd name="T59" fmla="*/ 38 h 408"/>
              <a:gd name="T60" fmla="*/ 557 w 679"/>
              <a:gd name="T61" fmla="*/ 7 h 408"/>
              <a:gd name="T62" fmla="*/ 502 w 679"/>
              <a:gd name="T63" fmla="*/ 1 h 408"/>
              <a:gd name="T64" fmla="*/ 439 w 679"/>
              <a:gd name="T65" fmla="*/ 16 h 408"/>
              <a:gd name="T66" fmla="*/ 390 w 679"/>
              <a:gd name="T67" fmla="*/ 50 h 408"/>
              <a:gd name="T68" fmla="*/ 349 w 679"/>
              <a:gd name="T69" fmla="*/ 96 h 408"/>
              <a:gd name="T70" fmla="*/ 318 w 679"/>
              <a:gd name="T71" fmla="*/ 137 h 408"/>
              <a:gd name="T72" fmla="*/ 281 w 679"/>
              <a:gd name="T73" fmla="*/ 186 h 408"/>
              <a:gd name="T74" fmla="*/ 242 w 679"/>
              <a:gd name="T75" fmla="*/ 236 h 408"/>
              <a:gd name="T76" fmla="*/ 195 w 679"/>
              <a:gd name="T77" fmla="*/ 275 h 408"/>
              <a:gd name="T78" fmla="*/ 134 w 679"/>
              <a:gd name="T79" fmla="*/ 292 h 408"/>
              <a:gd name="T80" fmla="*/ 82 w 679"/>
              <a:gd name="T81" fmla="*/ 278 h 408"/>
              <a:gd name="T82" fmla="*/ 40 w 679"/>
              <a:gd name="T83" fmla="*/ 231 h 408"/>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679"/>
              <a:gd name="T127" fmla="*/ 0 h 408"/>
              <a:gd name="T128" fmla="*/ 679 w 679"/>
              <a:gd name="T129" fmla="*/ 408 h 408"/>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679" h="408">
                <a:moveTo>
                  <a:pt x="37" y="194"/>
                </a:moveTo>
                <a:lnTo>
                  <a:pt x="42" y="173"/>
                </a:lnTo>
                <a:lnTo>
                  <a:pt x="52" y="154"/>
                </a:lnTo>
                <a:lnTo>
                  <a:pt x="65" y="139"/>
                </a:lnTo>
                <a:lnTo>
                  <a:pt x="82" y="127"/>
                </a:lnTo>
                <a:lnTo>
                  <a:pt x="101" y="118"/>
                </a:lnTo>
                <a:lnTo>
                  <a:pt x="123" y="112"/>
                </a:lnTo>
                <a:lnTo>
                  <a:pt x="147" y="108"/>
                </a:lnTo>
                <a:lnTo>
                  <a:pt x="171" y="107"/>
                </a:lnTo>
                <a:lnTo>
                  <a:pt x="187" y="108"/>
                </a:lnTo>
                <a:lnTo>
                  <a:pt x="208" y="112"/>
                </a:lnTo>
                <a:lnTo>
                  <a:pt x="230" y="117"/>
                </a:lnTo>
                <a:lnTo>
                  <a:pt x="250" y="124"/>
                </a:lnTo>
                <a:lnTo>
                  <a:pt x="269" y="131"/>
                </a:lnTo>
                <a:lnTo>
                  <a:pt x="283" y="139"/>
                </a:lnTo>
                <a:lnTo>
                  <a:pt x="283" y="62"/>
                </a:lnTo>
                <a:lnTo>
                  <a:pt x="270" y="48"/>
                </a:lnTo>
                <a:lnTo>
                  <a:pt x="254" y="35"/>
                </a:lnTo>
                <a:lnTo>
                  <a:pt x="237" y="24"/>
                </a:lnTo>
                <a:lnTo>
                  <a:pt x="219" y="14"/>
                </a:lnTo>
                <a:lnTo>
                  <a:pt x="199" y="6"/>
                </a:lnTo>
                <a:lnTo>
                  <a:pt x="179" y="1"/>
                </a:lnTo>
                <a:lnTo>
                  <a:pt x="158" y="0"/>
                </a:lnTo>
                <a:lnTo>
                  <a:pt x="139" y="1"/>
                </a:lnTo>
                <a:lnTo>
                  <a:pt x="115" y="5"/>
                </a:lnTo>
                <a:lnTo>
                  <a:pt x="94" y="13"/>
                </a:lnTo>
                <a:lnTo>
                  <a:pt x="75" y="24"/>
                </a:lnTo>
                <a:lnTo>
                  <a:pt x="58" y="38"/>
                </a:lnTo>
                <a:lnTo>
                  <a:pt x="44" y="54"/>
                </a:lnTo>
                <a:lnTo>
                  <a:pt x="31" y="71"/>
                </a:lnTo>
                <a:lnTo>
                  <a:pt x="21" y="91"/>
                </a:lnTo>
                <a:lnTo>
                  <a:pt x="13" y="112"/>
                </a:lnTo>
                <a:lnTo>
                  <a:pt x="7" y="133"/>
                </a:lnTo>
                <a:lnTo>
                  <a:pt x="3" y="155"/>
                </a:lnTo>
                <a:lnTo>
                  <a:pt x="0" y="177"/>
                </a:lnTo>
                <a:lnTo>
                  <a:pt x="0" y="199"/>
                </a:lnTo>
                <a:lnTo>
                  <a:pt x="0" y="210"/>
                </a:lnTo>
                <a:lnTo>
                  <a:pt x="2" y="232"/>
                </a:lnTo>
                <a:lnTo>
                  <a:pt x="5" y="254"/>
                </a:lnTo>
                <a:lnTo>
                  <a:pt x="11" y="275"/>
                </a:lnTo>
                <a:lnTo>
                  <a:pt x="19" y="296"/>
                </a:lnTo>
                <a:lnTo>
                  <a:pt x="28" y="316"/>
                </a:lnTo>
                <a:lnTo>
                  <a:pt x="39" y="335"/>
                </a:lnTo>
                <a:lnTo>
                  <a:pt x="52" y="352"/>
                </a:lnTo>
                <a:lnTo>
                  <a:pt x="68" y="368"/>
                </a:lnTo>
                <a:lnTo>
                  <a:pt x="85" y="381"/>
                </a:lnTo>
                <a:lnTo>
                  <a:pt x="104" y="392"/>
                </a:lnTo>
                <a:lnTo>
                  <a:pt x="125" y="400"/>
                </a:lnTo>
                <a:lnTo>
                  <a:pt x="148" y="406"/>
                </a:lnTo>
                <a:lnTo>
                  <a:pt x="173" y="407"/>
                </a:lnTo>
                <a:lnTo>
                  <a:pt x="180" y="407"/>
                </a:lnTo>
                <a:lnTo>
                  <a:pt x="203" y="405"/>
                </a:lnTo>
                <a:lnTo>
                  <a:pt x="223" y="399"/>
                </a:lnTo>
                <a:lnTo>
                  <a:pt x="242" y="392"/>
                </a:lnTo>
                <a:lnTo>
                  <a:pt x="260" y="382"/>
                </a:lnTo>
                <a:lnTo>
                  <a:pt x="276" y="370"/>
                </a:lnTo>
                <a:lnTo>
                  <a:pt x="291" y="357"/>
                </a:lnTo>
                <a:lnTo>
                  <a:pt x="306" y="343"/>
                </a:lnTo>
                <a:lnTo>
                  <a:pt x="319" y="327"/>
                </a:lnTo>
                <a:lnTo>
                  <a:pt x="333" y="311"/>
                </a:lnTo>
                <a:lnTo>
                  <a:pt x="346" y="295"/>
                </a:lnTo>
                <a:lnTo>
                  <a:pt x="350" y="290"/>
                </a:lnTo>
                <a:lnTo>
                  <a:pt x="366" y="270"/>
                </a:lnTo>
                <a:lnTo>
                  <a:pt x="380" y="250"/>
                </a:lnTo>
                <a:lnTo>
                  <a:pt x="387" y="241"/>
                </a:lnTo>
                <a:lnTo>
                  <a:pt x="389" y="239"/>
                </a:lnTo>
                <a:lnTo>
                  <a:pt x="400" y="223"/>
                </a:lnTo>
                <a:lnTo>
                  <a:pt x="413" y="207"/>
                </a:lnTo>
                <a:lnTo>
                  <a:pt x="426" y="190"/>
                </a:lnTo>
                <a:lnTo>
                  <a:pt x="440" y="174"/>
                </a:lnTo>
                <a:lnTo>
                  <a:pt x="454" y="159"/>
                </a:lnTo>
                <a:lnTo>
                  <a:pt x="470" y="146"/>
                </a:lnTo>
                <a:lnTo>
                  <a:pt x="488" y="135"/>
                </a:lnTo>
                <a:lnTo>
                  <a:pt x="506" y="126"/>
                </a:lnTo>
                <a:lnTo>
                  <a:pt x="527" y="120"/>
                </a:lnTo>
                <a:lnTo>
                  <a:pt x="548" y="119"/>
                </a:lnTo>
                <a:lnTo>
                  <a:pt x="565" y="120"/>
                </a:lnTo>
                <a:lnTo>
                  <a:pt x="586" y="125"/>
                </a:lnTo>
                <a:lnTo>
                  <a:pt x="605" y="134"/>
                </a:lnTo>
                <a:lnTo>
                  <a:pt x="621" y="146"/>
                </a:lnTo>
                <a:lnTo>
                  <a:pt x="634" y="161"/>
                </a:lnTo>
                <a:lnTo>
                  <a:pt x="678" y="161"/>
                </a:lnTo>
                <a:lnTo>
                  <a:pt x="676" y="148"/>
                </a:lnTo>
                <a:lnTo>
                  <a:pt x="670" y="127"/>
                </a:lnTo>
                <a:lnTo>
                  <a:pt x="662" y="107"/>
                </a:lnTo>
                <a:lnTo>
                  <a:pt x="652" y="88"/>
                </a:lnTo>
                <a:lnTo>
                  <a:pt x="641" y="70"/>
                </a:lnTo>
                <a:lnTo>
                  <a:pt x="628" y="53"/>
                </a:lnTo>
                <a:lnTo>
                  <a:pt x="613" y="38"/>
                </a:lnTo>
                <a:lnTo>
                  <a:pt x="596" y="26"/>
                </a:lnTo>
                <a:lnTo>
                  <a:pt x="577" y="15"/>
                </a:lnTo>
                <a:lnTo>
                  <a:pt x="557" y="7"/>
                </a:lnTo>
                <a:lnTo>
                  <a:pt x="534" y="2"/>
                </a:lnTo>
                <a:lnTo>
                  <a:pt x="510" y="1"/>
                </a:lnTo>
                <a:lnTo>
                  <a:pt x="502" y="1"/>
                </a:lnTo>
                <a:lnTo>
                  <a:pt x="479" y="3"/>
                </a:lnTo>
                <a:lnTo>
                  <a:pt x="459" y="8"/>
                </a:lnTo>
                <a:lnTo>
                  <a:pt x="439" y="16"/>
                </a:lnTo>
                <a:lnTo>
                  <a:pt x="422" y="25"/>
                </a:lnTo>
                <a:lnTo>
                  <a:pt x="405" y="37"/>
                </a:lnTo>
                <a:lnTo>
                  <a:pt x="390" y="50"/>
                </a:lnTo>
                <a:lnTo>
                  <a:pt x="375" y="64"/>
                </a:lnTo>
                <a:lnTo>
                  <a:pt x="362" y="80"/>
                </a:lnTo>
                <a:lnTo>
                  <a:pt x="349" y="96"/>
                </a:lnTo>
                <a:lnTo>
                  <a:pt x="336" y="113"/>
                </a:lnTo>
                <a:lnTo>
                  <a:pt x="331" y="120"/>
                </a:lnTo>
                <a:lnTo>
                  <a:pt x="318" y="137"/>
                </a:lnTo>
                <a:lnTo>
                  <a:pt x="303" y="157"/>
                </a:lnTo>
                <a:lnTo>
                  <a:pt x="291" y="172"/>
                </a:lnTo>
                <a:lnTo>
                  <a:pt x="281" y="186"/>
                </a:lnTo>
                <a:lnTo>
                  <a:pt x="269" y="203"/>
                </a:lnTo>
                <a:lnTo>
                  <a:pt x="256" y="219"/>
                </a:lnTo>
                <a:lnTo>
                  <a:pt x="242" y="236"/>
                </a:lnTo>
                <a:lnTo>
                  <a:pt x="228" y="251"/>
                </a:lnTo>
                <a:lnTo>
                  <a:pt x="212" y="264"/>
                </a:lnTo>
                <a:lnTo>
                  <a:pt x="195" y="275"/>
                </a:lnTo>
                <a:lnTo>
                  <a:pt x="176" y="284"/>
                </a:lnTo>
                <a:lnTo>
                  <a:pt x="156" y="290"/>
                </a:lnTo>
                <a:lnTo>
                  <a:pt x="134" y="292"/>
                </a:lnTo>
                <a:lnTo>
                  <a:pt x="125" y="291"/>
                </a:lnTo>
                <a:lnTo>
                  <a:pt x="102" y="287"/>
                </a:lnTo>
                <a:lnTo>
                  <a:pt x="82" y="278"/>
                </a:lnTo>
                <a:lnTo>
                  <a:pt x="64" y="266"/>
                </a:lnTo>
                <a:lnTo>
                  <a:pt x="49" y="250"/>
                </a:lnTo>
                <a:lnTo>
                  <a:pt x="40" y="231"/>
                </a:lnTo>
                <a:lnTo>
                  <a:pt x="36" y="209"/>
                </a:lnTo>
                <a:lnTo>
                  <a:pt x="37" y="194"/>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634190" name="Freeform 27">
            <a:extLst>
              <a:ext uri="{FF2B5EF4-FFF2-40B4-BE49-F238E27FC236}">
                <a16:creationId xmlns="" xmlns:a16="http://schemas.microsoft.com/office/drawing/2014/main" id="{F1021A2F-F818-170B-9725-CFF89A288A21}"/>
              </a:ext>
            </a:extLst>
          </xdr:cNvPr>
          <xdr:cNvSpPr>
            <a:spLocks/>
          </xdr:cNvSpPr>
        </xdr:nvSpPr>
        <xdr:spPr bwMode="auto">
          <a:xfrm>
            <a:off x="1948" y="1301"/>
            <a:ext cx="291" cy="164"/>
          </a:xfrm>
          <a:custGeom>
            <a:avLst/>
            <a:gdLst>
              <a:gd name="T0" fmla="*/ 0 w 291"/>
              <a:gd name="T1" fmla="*/ 18 h 164"/>
              <a:gd name="T2" fmla="*/ 0 w 291"/>
              <a:gd name="T3" fmla="*/ 75 h 164"/>
              <a:gd name="T4" fmla="*/ 1 w 291"/>
              <a:gd name="T5" fmla="*/ 77 h 164"/>
              <a:gd name="T6" fmla="*/ 13 w 291"/>
              <a:gd name="T7" fmla="*/ 95 h 164"/>
              <a:gd name="T8" fmla="*/ 27 w 291"/>
              <a:gd name="T9" fmla="*/ 111 h 164"/>
              <a:gd name="T10" fmla="*/ 42 w 291"/>
              <a:gd name="T11" fmla="*/ 126 h 164"/>
              <a:gd name="T12" fmla="*/ 58 w 291"/>
              <a:gd name="T13" fmla="*/ 139 h 164"/>
              <a:gd name="T14" fmla="*/ 76 w 291"/>
              <a:gd name="T15" fmla="*/ 149 h 164"/>
              <a:gd name="T16" fmla="*/ 94 w 291"/>
              <a:gd name="T17" fmla="*/ 157 h 164"/>
              <a:gd name="T18" fmla="*/ 114 w 291"/>
              <a:gd name="T19" fmla="*/ 162 h 164"/>
              <a:gd name="T20" fmla="*/ 135 w 291"/>
              <a:gd name="T21" fmla="*/ 164 h 164"/>
              <a:gd name="T22" fmla="*/ 144 w 291"/>
              <a:gd name="T23" fmla="*/ 164 h 164"/>
              <a:gd name="T24" fmla="*/ 168 w 291"/>
              <a:gd name="T25" fmla="*/ 161 h 164"/>
              <a:gd name="T26" fmla="*/ 190 w 291"/>
              <a:gd name="T27" fmla="*/ 154 h 164"/>
              <a:gd name="T28" fmla="*/ 210 w 291"/>
              <a:gd name="T29" fmla="*/ 145 h 164"/>
              <a:gd name="T30" fmla="*/ 227 w 291"/>
              <a:gd name="T31" fmla="*/ 132 h 164"/>
              <a:gd name="T32" fmla="*/ 242 w 291"/>
              <a:gd name="T33" fmla="*/ 118 h 164"/>
              <a:gd name="T34" fmla="*/ 255 w 291"/>
              <a:gd name="T35" fmla="*/ 101 h 164"/>
              <a:gd name="T36" fmla="*/ 266 w 291"/>
              <a:gd name="T37" fmla="*/ 83 h 164"/>
              <a:gd name="T38" fmla="*/ 275 w 291"/>
              <a:gd name="T39" fmla="*/ 63 h 164"/>
              <a:gd name="T40" fmla="*/ 282 w 291"/>
              <a:gd name="T41" fmla="*/ 42 h 164"/>
              <a:gd name="T42" fmla="*/ 288 w 291"/>
              <a:gd name="T43" fmla="*/ 21 h 164"/>
              <a:gd name="T44" fmla="*/ 291 w 291"/>
              <a:gd name="T45" fmla="*/ 0 h 164"/>
              <a:gd name="T46" fmla="*/ 247 w 291"/>
              <a:gd name="T47" fmla="*/ 0 h 164"/>
              <a:gd name="T48" fmla="*/ 247 w 291"/>
              <a:gd name="T49" fmla="*/ 0 h 164"/>
              <a:gd name="T50" fmla="*/ 236 w 291"/>
              <a:gd name="T51" fmla="*/ 16 h 164"/>
              <a:gd name="T52" fmla="*/ 222 w 291"/>
              <a:gd name="T53" fmla="*/ 29 h 164"/>
              <a:gd name="T54" fmla="*/ 206 w 291"/>
              <a:gd name="T55" fmla="*/ 40 h 164"/>
              <a:gd name="T56" fmla="*/ 187 w 291"/>
              <a:gd name="T57" fmla="*/ 49 h 164"/>
              <a:gd name="T58" fmla="*/ 166 w 291"/>
              <a:gd name="T59" fmla="*/ 55 h 164"/>
              <a:gd name="T60" fmla="*/ 144 w 291"/>
              <a:gd name="T61" fmla="*/ 59 h 164"/>
              <a:gd name="T62" fmla="*/ 121 w 291"/>
              <a:gd name="T63" fmla="*/ 60 h 164"/>
              <a:gd name="T64" fmla="*/ 112 w 291"/>
              <a:gd name="T65" fmla="*/ 59 h 164"/>
              <a:gd name="T66" fmla="*/ 92 w 291"/>
              <a:gd name="T67" fmla="*/ 57 h 164"/>
              <a:gd name="T68" fmla="*/ 73 w 291"/>
              <a:gd name="T69" fmla="*/ 52 h 164"/>
              <a:gd name="T70" fmla="*/ 54 w 291"/>
              <a:gd name="T71" fmla="*/ 45 h 164"/>
              <a:gd name="T72" fmla="*/ 36 w 291"/>
              <a:gd name="T73" fmla="*/ 37 h 164"/>
              <a:gd name="T74" fmla="*/ 18 w 291"/>
              <a:gd name="T75" fmla="*/ 28 h 164"/>
              <a:gd name="T76" fmla="*/ 0 w 291"/>
              <a:gd name="T77" fmla="*/ 18 h 164"/>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291"/>
              <a:gd name="T118" fmla="*/ 0 h 164"/>
              <a:gd name="T119" fmla="*/ 291 w 291"/>
              <a:gd name="T120" fmla="*/ 164 h 164"/>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291" h="164">
                <a:moveTo>
                  <a:pt x="0" y="18"/>
                </a:moveTo>
                <a:lnTo>
                  <a:pt x="0" y="75"/>
                </a:lnTo>
                <a:lnTo>
                  <a:pt x="1" y="77"/>
                </a:lnTo>
                <a:lnTo>
                  <a:pt x="13" y="95"/>
                </a:lnTo>
                <a:lnTo>
                  <a:pt x="27" y="111"/>
                </a:lnTo>
                <a:lnTo>
                  <a:pt x="42" y="126"/>
                </a:lnTo>
                <a:lnTo>
                  <a:pt x="58" y="139"/>
                </a:lnTo>
                <a:lnTo>
                  <a:pt x="76" y="149"/>
                </a:lnTo>
                <a:lnTo>
                  <a:pt x="94" y="157"/>
                </a:lnTo>
                <a:lnTo>
                  <a:pt x="114" y="162"/>
                </a:lnTo>
                <a:lnTo>
                  <a:pt x="135" y="164"/>
                </a:lnTo>
                <a:lnTo>
                  <a:pt x="144" y="164"/>
                </a:lnTo>
                <a:lnTo>
                  <a:pt x="168" y="161"/>
                </a:lnTo>
                <a:lnTo>
                  <a:pt x="190" y="154"/>
                </a:lnTo>
                <a:lnTo>
                  <a:pt x="210" y="145"/>
                </a:lnTo>
                <a:lnTo>
                  <a:pt x="227" y="132"/>
                </a:lnTo>
                <a:lnTo>
                  <a:pt x="242" y="118"/>
                </a:lnTo>
                <a:lnTo>
                  <a:pt x="255" y="101"/>
                </a:lnTo>
                <a:lnTo>
                  <a:pt x="266" y="83"/>
                </a:lnTo>
                <a:lnTo>
                  <a:pt x="275" y="63"/>
                </a:lnTo>
                <a:lnTo>
                  <a:pt x="282" y="42"/>
                </a:lnTo>
                <a:lnTo>
                  <a:pt x="288" y="21"/>
                </a:lnTo>
                <a:lnTo>
                  <a:pt x="291" y="0"/>
                </a:lnTo>
                <a:lnTo>
                  <a:pt x="247" y="0"/>
                </a:lnTo>
                <a:lnTo>
                  <a:pt x="236" y="16"/>
                </a:lnTo>
                <a:lnTo>
                  <a:pt x="222" y="29"/>
                </a:lnTo>
                <a:lnTo>
                  <a:pt x="206" y="40"/>
                </a:lnTo>
                <a:lnTo>
                  <a:pt x="187" y="49"/>
                </a:lnTo>
                <a:lnTo>
                  <a:pt x="166" y="55"/>
                </a:lnTo>
                <a:lnTo>
                  <a:pt x="144" y="59"/>
                </a:lnTo>
                <a:lnTo>
                  <a:pt x="121" y="60"/>
                </a:lnTo>
                <a:lnTo>
                  <a:pt x="112" y="59"/>
                </a:lnTo>
                <a:lnTo>
                  <a:pt x="92" y="57"/>
                </a:lnTo>
                <a:lnTo>
                  <a:pt x="73" y="52"/>
                </a:lnTo>
                <a:lnTo>
                  <a:pt x="54" y="45"/>
                </a:lnTo>
                <a:lnTo>
                  <a:pt x="36" y="37"/>
                </a:lnTo>
                <a:lnTo>
                  <a:pt x="18" y="28"/>
                </a:lnTo>
                <a:lnTo>
                  <a:pt x="0" y="18"/>
                </a:lnTo>
                <a:close/>
              </a:path>
            </a:pathLst>
          </a:custGeom>
          <a:solidFill>
            <a:srgbClr val="FDFDFD"/>
          </a:solidFill>
          <a:ln>
            <a:noFill/>
          </a:ln>
          <a:extLst>
            <a:ext uri="{91240B29-F687-4F45-9708-019B960494DF}">
              <a14:hiddenLine xmlns="" xmlns:a14="http://schemas.microsoft.com/office/drawing/2010/main" w="9525">
                <a:solidFill>
                  <a:srgbClr val="000000"/>
                </a:solidFill>
                <a:round/>
                <a:headEnd/>
                <a:tailEnd/>
              </a14:hiddenLine>
            </a:ext>
          </a:extLst>
        </xdr:spPr>
      </xdr:sp>
    </xdr:grpSp>
    <xdr:clientData/>
  </xdr:twoCellAnchor>
  <xdr:twoCellAnchor>
    <xdr:from>
      <xdr:col>5</xdr:col>
      <xdr:colOff>161925</xdr:colOff>
      <xdr:row>134</xdr:row>
      <xdr:rowOff>0</xdr:rowOff>
    </xdr:from>
    <xdr:to>
      <xdr:col>11</xdr:col>
      <xdr:colOff>57150</xdr:colOff>
      <xdr:row>135</xdr:row>
      <xdr:rowOff>85725</xdr:rowOff>
    </xdr:to>
    <xdr:grpSp>
      <xdr:nvGrpSpPr>
        <xdr:cNvPr id="634171" name="Group 28">
          <a:extLst>
            <a:ext uri="{FF2B5EF4-FFF2-40B4-BE49-F238E27FC236}">
              <a16:creationId xmlns="" xmlns:a16="http://schemas.microsoft.com/office/drawing/2014/main" id="{E93F008E-DB9D-2996-782B-0AEDEB7358EE}"/>
            </a:ext>
          </a:extLst>
        </xdr:cNvPr>
        <xdr:cNvGrpSpPr>
          <a:grpSpLocks/>
        </xdr:cNvGrpSpPr>
      </xdr:nvGrpSpPr>
      <xdr:grpSpPr bwMode="auto">
        <a:xfrm>
          <a:off x="1066800" y="20745450"/>
          <a:ext cx="981075" cy="0"/>
          <a:chOff x="2427" y="1027"/>
          <a:chExt cx="1454" cy="391"/>
        </a:xfrm>
      </xdr:grpSpPr>
      <xdr:grpSp>
        <xdr:nvGrpSpPr>
          <xdr:cNvPr id="634174" name="Group 29">
            <a:extLst>
              <a:ext uri="{FF2B5EF4-FFF2-40B4-BE49-F238E27FC236}">
                <a16:creationId xmlns="" xmlns:a16="http://schemas.microsoft.com/office/drawing/2014/main" id="{312E4964-7485-84C7-DA6B-7EA3FBA4586E}"/>
              </a:ext>
            </a:extLst>
          </xdr:cNvPr>
          <xdr:cNvGrpSpPr>
            <a:grpSpLocks/>
          </xdr:cNvGrpSpPr>
        </xdr:nvGrpSpPr>
        <xdr:grpSpPr bwMode="auto">
          <a:xfrm>
            <a:off x="3804" y="1057"/>
            <a:ext cx="67" cy="80"/>
            <a:chOff x="3804" y="1057"/>
            <a:chExt cx="67" cy="80"/>
          </a:xfrm>
        </xdr:grpSpPr>
        <xdr:sp macro="" textlink="">
          <xdr:nvSpPr>
            <xdr:cNvPr id="634183" name="Freeform 30">
              <a:extLst>
                <a:ext uri="{FF2B5EF4-FFF2-40B4-BE49-F238E27FC236}">
                  <a16:creationId xmlns="" xmlns:a16="http://schemas.microsoft.com/office/drawing/2014/main" id="{DAF8239A-B1A0-EE67-536D-2DE4AF227E78}"/>
                </a:ext>
              </a:extLst>
            </xdr:cNvPr>
            <xdr:cNvSpPr>
              <a:spLocks/>
            </xdr:cNvSpPr>
          </xdr:nvSpPr>
          <xdr:spPr bwMode="auto">
            <a:xfrm>
              <a:off x="3804" y="1057"/>
              <a:ext cx="67" cy="80"/>
            </a:xfrm>
            <a:custGeom>
              <a:avLst/>
              <a:gdLst>
                <a:gd name="T0" fmla="*/ 33 w 67"/>
                <a:gd name="T1" fmla="*/ 53 h 80"/>
                <a:gd name="T2" fmla="*/ 38 w 67"/>
                <a:gd name="T3" fmla="*/ 53 h 80"/>
                <a:gd name="T4" fmla="*/ 38 w 67"/>
                <a:gd name="T5" fmla="*/ 4 h 80"/>
                <a:gd name="T6" fmla="*/ 49 w 67"/>
                <a:gd name="T7" fmla="*/ 4 h 80"/>
                <a:gd name="T8" fmla="*/ 47 w 67"/>
                <a:gd name="T9" fmla="*/ 0 h 80"/>
                <a:gd name="T10" fmla="*/ 33 w 67"/>
                <a:gd name="T11" fmla="*/ 0 h 80"/>
                <a:gd name="T12" fmla="*/ 33 w 67"/>
                <a:gd name="T13" fmla="*/ 53 h 80"/>
                <a:gd name="T14" fmla="*/ 0 60000 65536"/>
                <a:gd name="T15" fmla="*/ 0 60000 65536"/>
                <a:gd name="T16" fmla="*/ 0 60000 65536"/>
                <a:gd name="T17" fmla="*/ 0 60000 65536"/>
                <a:gd name="T18" fmla="*/ 0 60000 65536"/>
                <a:gd name="T19" fmla="*/ 0 60000 65536"/>
                <a:gd name="T20" fmla="*/ 0 60000 65536"/>
                <a:gd name="T21" fmla="*/ 0 w 67"/>
                <a:gd name="T22" fmla="*/ 0 h 80"/>
                <a:gd name="T23" fmla="*/ 67 w 67"/>
                <a:gd name="T24" fmla="*/ 80 h 8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67" h="80">
                  <a:moveTo>
                    <a:pt x="33" y="53"/>
                  </a:moveTo>
                  <a:lnTo>
                    <a:pt x="38" y="53"/>
                  </a:lnTo>
                  <a:lnTo>
                    <a:pt x="38" y="4"/>
                  </a:lnTo>
                  <a:lnTo>
                    <a:pt x="49" y="4"/>
                  </a:lnTo>
                  <a:lnTo>
                    <a:pt x="47" y="0"/>
                  </a:lnTo>
                  <a:lnTo>
                    <a:pt x="33" y="0"/>
                  </a:lnTo>
                  <a:lnTo>
                    <a:pt x="33" y="53"/>
                  </a:lnTo>
                  <a:close/>
                </a:path>
              </a:pathLst>
            </a:custGeom>
            <a:solidFill>
              <a:srgbClr val="363435"/>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634184" name="Freeform 31">
              <a:extLst>
                <a:ext uri="{FF2B5EF4-FFF2-40B4-BE49-F238E27FC236}">
                  <a16:creationId xmlns="" xmlns:a16="http://schemas.microsoft.com/office/drawing/2014/main" id="{D25EB49D-D34A-062D-DB96-CF1C844B3F2F}"/>
                </a:ext>
              </a:extLst>
            </xdr:cNvPr>
            <xdr:cNvSpPr>
              <a:spLocks/>
            </xdr:cNvSpPr>
          </xdr:nvSpPr>
          <xdr:spPr bwMode="auto">
            <a:xfrm>
              <a:off x="3804" y="1057"/>
              <a:ext cx="67" cy="80"/>
            </a:xfrm>
            <a:custGeom>
              <a:avLst/>
              <a:gdLst>
                <a:gd name="T0" fmla="*/ 51 w 67"/>
                <a:gd name="T1" fmla="*/ 32 h 80"/>
                <a:gd name="T2" fmla="*/ 53 w 67"/>
                <a:gd name="T3" fmla="*/ 35 h 80"/>
                <a:gd name="T4" fmla="*/ 60 w 67"/>
                <a:gd name="T5" fmla="*/ 53 h 80"/>
                <a:gd name="T6" fmla="*/ 66 w 67"/>
                <a:gd name="T7" fmla="*/ 53 h 80"/>
                <a:gd name="T8" fmla="*/ 57 w 67"/>
                <a:gd name="T9" fmla="*/ 32 h 80"/>
                <a:gd name="T10" fmla="*/ 55 w 67"/>
                <a:gd name="T11" fmla="*/ 28 h 80"/>
                <a:gd name="T12" fmla="*/ 50 w 67"/>
                <a:gd name="T13" fmla="*/ 26 h 80"/>
                <a:gd name="T14" fmla="*/ 56 w 67"/>
                <a:gd name="T15" fmla="*/ 24 h 80"/>
                <a:gd name="T16" fmla="*/ 61 w 67"/>
                <a:gd name="T17" fmla="*/ 20 h 80"/>
                <a:gd name="T18" fmla="*/ 62 w 67"/>
                <a:gd name="T19" fmla="*/ 13 h 80"/>
                <a:gd name="T20" fmla="*/ 62 w 67"/>
                <a:gd name="T21" fmla="*/ 4 h 80"/>
                <a:gd name="T22" fmla="*/ 56 w 67"/>
                <a:gd name="T23" fmla="*/ 0 h 80"/>
                <a:gd name="T24" fmla="*/ 47 w 67"/>
                <a:gd name="T25" fmla="*/ 0 h 80"/>
                <a:gd name="T26" fmla="*/ 49 w 67"/>
                <a:gd name="T27" fmla="*/ 4 h 80"/>
                <a:gd name="T28" fmla="*/ 53 w 67"/>
                <a:gd name="T29" fmla="*/ 6 h 80"/>
                <a:gd name="T30" fmla="*/ 56 w 67"/>
                <a:gd name="T31" fmla="*/ 10 h 80"/>
                <a:gd name="T32" fmla="*/ 57 w 67"/>
                <a:gd name="T33" fmla="*/ 17 h 80"/>
                <a:gd name="T34" fmla="*/ 53 w 67"/>
                <a:gd name="T35" fmla="*/ 21 h 80"/>
                <a:gd name="T36" fmla="*/ 47 w 67"/>
                <a:gd name="T37" fmla="*/ 23 h 80"/>
                <a:gd name="T38" fmla="*/ 38 w 67"/>
                <a:gd name="T39" fmla="*/ 23 h 80"/>
                <a:gd name="T40" fmla="*/ 38 w 67"/>
                <a:gd name="T41" fmla="*/ 4 h 80"/>
                <a:gd name="T42" fmla="*/ 38 w 67"/>
                <a:gd name="T43" fmla="*/ 28 h 80"/>
                <a:gd name="T44" fmla="*/ 47 w 67"/>
                <a:gd name="T45" fmla="*/ 28 h 80"/>
                <a:gd name="T46" fmla="*/ 51 w 67"/>
                <a:gd name="T47" fmla="*/ 32 h 80"/>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67"/>
                <a:gd name="T73" fmla="*/ 0 h 80"/>
                <a:gd name="T74" fmla="*/ 67 w 67"/>
                <a:gd name="T75" fmla="*/ 80 h 80"/>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67" h="80">
                  <a:moveTo>
                    <a:pt x="51" y="32"/>
                  </a:moveTo>
                  <a:lnTo>
                    <a:pt x="53" y="35"/>
                  </a:lnTo>
                  <a:lnTo>
                    <a:pt x="60" y="53"/>
                  </a:lnTo>
                  <a:lnTo>
                    <a:pt x="66" y="53"/>
                  </a:lnTo>
                  <a:lnTo>
                    <a:pt x="57" y="32"/>
                  </a:lnTo>
                  <a:lnTo>
                    <a:pt x="55" y="28"/>
                  </a:lnTo>
                  <a:lnTo>
                    <a:pt x="50" y="26"/>
                  </a:lnTo>
                  <a:lnTo>
                    <a:pt x="56" y="24"/>
                  </a:lnTo>
                  <a:lnTo>
                    <a:pt x="61" y="20"/>
                  </a:lnTo>
                  <a:lnTo>
                    <a:pt x="62" y="13"/>
                  </a:lnTo>
                  <a:lnTo>
                    <a:pt x="62" y="4"/>
                  </a:lnTo>
                  <a:lnTo>
                    <a:pt x="56" y="0"/>
                  </a:lnTo>
                  <a:lnTo>
                    <a:pt x="47" y="0"/>
                  </a:lnTo>
                  <a:lnTo>
                    <a:pt x="49" y="4"/>
                  </a:lnTo>
                  <a:lnTo>
                    <a:pt x="53" y="6"/>
                  </a:lnTo>
                  <a:lnTo>
                    <a:pt x="56" y="10"/>
                  </a:lnTo>
                  <a:lnTo>
                    <a:pt x="57" y="17"/>
                  </a:lnTo>
                  <a:lnTo>
                    <a:pt x="53" y="21"/>
                  </a:lnTo>
                  <a:lnTo>
                    <a:pt x="47" y="23"/>
                  </a:lnTo>
                  <a:lnTo>
                    <a:pt x="38" y="23"/>
                  </a:lnTo>
                  <a:lnTo>
                    <a:pt x="38" y="4"/>
                  </a:lnTo>
                  <a:lnTo>
                    <a:pt x="38" y="28"/>
                  </a:lnTo>
                  <a:lnTo>
                    <a:pt x="47" y="28"/>
                  </a:lnTo>
                  <a:lnTo>
                    <a:pt x="51" y="32"/>
                  </a:lnTo>
                  <a:close/>
                </a:path>
              </a:pathLst>
            </a:custGeom>
            <a:solidFill>
              <a:srgbClr val="363435"/>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634185" name="Freeform 32">
              <a:extLst>
                <a:ext uri="{FF2B5EF4-FFF2-40B4-BE49-F238E27FC236}">
                  <a16:creationId xmlns="" xmlns:a16="http://schemas.microsoft.com/office/drawing/2014/main" id="{1A11537B-3385-8565-F5EB-9F2B6E64E0B4}"/>
                </a:ext>
              </a:extLst>
            </xdr:cNvPr>
            <xdr:cNvSpPr>
              <a:spLocks/>
            </xdr:cNvSpPr>
          </xdr:nvSpPr>
          <xdr:spPr bwMode="auto">
            <a:xfrm>
              <a:off x="3804" y="1057"/>
              <a:ext cx="67" cy="80"/>
            </a:xfrm>
            <a:custGeom>
              <a:avLst/>
              <a:gdLst>
                <a:gd name="T0" fmla="*/ 7 w 67"/>
                <a:gd name="T1" fmla="*/ 37 h 80"/>
                <a:gd name="T2" fmla="*/ 5 w 67"/>
                <a:gd name="T3" fmla="*/ 51 h 80"/>
                <a:gd name="T4" fmla="*/ 13 w 67"/>
                <a:gd name="T5" fmla="*/ 59 h 80"/>
                <a:gd name="T6" fmla="*/ 11 w 67"/>
                <a:gd name="T7" fmla="*/ 47 h 80"/>
                <a:gd name="T8" fmla="*/ 7 w 67"/>
                <a:gd name="T9" fmla="*/ 37 h 80"/>
                <a:gd name="T10" fmla="*/ 0 60000 65536"/>
                <a:gd name="T11" fmla="*/ 0 60000 65536"/>
                <a:gd name="T12" fmla="*/ 0 60000 65536"/>
                <a:gd name="T13" fmla="*/ 0 60000 65536"/>
                <a:gd name="T14" fmla="*/ 0 60000 65536"/>
                <a:gd name="T15" fmla="*/ 0 w 67"/>
                <a:gd name="T16" fmla="*/ 0 h 80"/>
                <a:gd name="T17" fmla="*/ 67 w 67"/>
                <a:gd name="T18" fmla="*/ 80 h 80"/>
              </a:gdLst>
              <a:ahLst/>
              <a:cxnLst>
                <a:cxn ang="T10">
                  <a:pos x="T0" y="T1"/>
                </a:cxn>
                <a:cxn ang="T11">
                  <a:pos x="T2" y="T3"/>
                </a:cxn>
                <a:cxn ang="T12">
                  <a:pos x="T4" y="T5"/>
                </a:cxn>
                <a:cxn ang="T13">
                  <a:pos x="T6" y="T7"/>
                </a:cxn>
                <a:cxn ang="T14">
                  <a:pos x="T8" y="T9"/>
                </a:cxn>
              </a:cxnLst>
              <a:rect l="T15" t="T16" r="T17" b="T18"/>
              <a:pathLst>
                <a:path w="67" h="80">
                  <a:moveTo>
                    <a:pt x="7" y="37"/>
                  </a:moveTo>
                  <a:lnTo>
                    <a:pt x="5" y="51"/>
                  </a:lnTo>
                  <a:lnTo>
                    <a:pt x="13" y="59"/>
                  </a:lnTo>
                  <a:lnTo>
                    <a:pt x="11" y="47"/>
                  </a:lnTo>
                  <a:lnTo>
                    <a:pt x="7" y="37"/>
                  </a:lnTo>
                  <a:close/>
                </a:path>
              </a:pathLst>
            </a:custGeom>
            <a:solidFill>
              <a:srgbClr val="363435"/>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634186" name="Freeform 33">
              <a:extLst>
                <a:ext uri="{FF2B5EF4-FFF2-40B4-BE49-F238E27FC236}">
                  <a16:creationId xmlns="" xmlns:a16="http://schemas.microsoft.com/office/drawing/2014/main" id="{694FF9E0-E9D8-2C9A-D9B7-32D0EAD5A4F8}"/>
                </a:ext>
              </a:extLst>
            </xdr:cNvPr>
            <xdr:cNvSpPr>
              <a:spLocks/>
            </xdr:cNvSpPr>
          </xdr:nvSpPr>
          <xdr:spPr bwMode="auto">
            <a:xfrm>
              <a:off x="3804" y="1057"/>
              <a:ext cx="67" cy="80"/>
            </a:xfrm>
            <a:custGeom>
              <a:avLst/>
              <a:gdLst>
                <a:gd name="T0" fmla="*/ 0 w 67"/>
                <a:gd name="T1" fmla="*/ 39 h 80"/>
                <a:gd name="T2" fmla="*/ 5 w 67"/>
                <a:gd name="T3" fmla="*/ 51 h 80"/>
                <a:gd name="T4" fmla="*/ 7 w 67"/>
                <a:gd name="T5" fmla="*/ 37 h 80"/>
                <a:gd name="T6" fmla="*/ 7 w 67"/>
                <a:gd name="T7" fmla="*/ 15 h 80"/>
                <a:gd name="T8" fmla="*/ 11 w 67"/>
                <a:gd name="T9" fmla="*/ 5 h 80"/>
                <a:gd name="T10" fmla="*/ 18 w 67"/>
                <a:gd name="T11" fmla="*/ -1 h 80"/>
                <a:gd name="T12" fmla="*/ 25 w 67"/>
                <a:gd name="T13" fmla="*/ -8 h 80"/>
                <a:gd name="T14" fmla="*/ 35 w 67"/>
                <a:gd name="T15" fmla="*/ -12 h 80"/>
                <a:gd name="T16" fmla="*/ 57 w 67"/>
                <a:gd name="T17" fmla="*/ -12 h 80"/>
                <a:gd name="T18" fmla="*/ 67 w 67"/>
                <a:gd name="T19" fmla="*/ -8 h 80"/>
                <a:gd name="T20" fmla="*/ 74 w 67"/>
                <a:gd name="T21" fmla="*/ -1 h 80"/>
                <a:gd name="T22" fmla="*/ 82 w 67"/>
                <a:gd name="T23" fmla="*/ 5 h 80"/>
                <a:gd name="T24" fmla="*/ 86 w 67"/>
                <a:gd name="T25" fmla="*/ 15 h 80"/>
                <a:gd name="T26" fmla="*/ 86 w 67"/>
                <a:gd name="T27" fmla="*/ 37 h 80"/>
                <a:gd name="T28" fmla="*/ 82 w 67"/>
                <a:gd name="T29" fmla="*/ 47 h 80"/>
                <a:gd name="T30" fmla="*/ 74 w 67"/>
                <a:gd name="T31" fmla="*/ 54 h 80"/>
                <a:gd name="T32" fmla="*/ 67 w 67"/>
                <a:gd name="T33" fmla="*/ 62 h 80"/>
                <a:gd name="T34" fmla="*/ 57 w 67"/>
                <a:gd name="T35" fmla="*/ 66 h 80"/>
                <a:gd name="T36" fmla="*/ 35 w 67"/>
                <a:gd name="T37" fmla="*/ 66 h 80"/>
                <a:gd name="T38" fmla="*/ 25 w 67"/>
                <a:gd name="T39" fmla="*/ 61 h 80"/>
                <a:gd name="T40" fmla="*/ 18 w 67"/>
                <a:gd name="T41" fmla="*/ 54 h 80"/>
                <a:gd name="T42" fmla="*/ 11 w 67"/>
                <a:gd name="T43" fmla="*/ 47 h 80"/>
                <a:gd name="T44" fmla="*/ 13 w 67"/>
                <a:gd name="T45" fmla="*/ 59 h 80"/>
                <a:gd name="T46" fmla="*/ 22 w 67"/>
                <a:gd name="T47" fmla="*/ 68 h 80"/>
                <a:gd name="T48" fmla="*/ 33 w 67"/>
                <a:gd name="T49" fmla="*/ 73 h 80"/>
                <a:gd name="T50" fmla="*/ 59 w 67"/>
                <a:gd name="T51" fmla="*/ 73 h 80"/>
                <a:gd name="T52" fmla="*/ 71 w 67"/>
                <a:gd name="T53" fmla="*/ 68 h 80"/>
                <a:gd name="T54" fmla="*/ 79 w 67"/>
                <a:gd name="T55" fmla="*/ 59 h 80"/>
                <a:gd name="T56" fmla="*/ 88 w 67"/>
                <a:gd name="T57" fmla="*/ 51 h 80"/>
                <a:gd name="T58" fmla="*/ 93 w 67"/>
                <a:gd name="T59" fmla="*/ 39 h 80"/>
                <a:gd name="T60" fmla="*/ 93 w 67"/>
                <a:gd name="T61" fmla="*/ 13 h 80"/>
                <a:gd name="T62" fmla="*/ 88 w 67"/>
                <a:gd name="T63" fmla="*/ 2 h 80"/>
                <a:gd name="T64" fmla="*/ 79 w 67"/>
                <a:gd name="T65" fmla="*/ -6 h 80"/>
                <a:gd name="T66" fmla="*/ 71 w 67"/>
                <a:gd name="T67" fmla="*/ -14 h 80"/>
                <a:gd name="T68" fmla="*/ 59 w 67"/>
                <a:gd name="T69" fmla="*/ -20 h 80"/>
                <a:gd name="T70" fmla="*/ 33 w 67"/>
                <a:gd name="T71" fmla="*/ -20 h 80"/>
                <a:gd name="T72" fmla="*/ 22 w 67"/>
                <a:gd name="T73" fmla="*/ -14 h 80"/>
                <a:gd name="T74" fmla="*/ 13 w 67"/>
                <a:gd name="T75" fmla="*/ -6 h 80"/>
                <a:gd name="T76" fmla="*/ 5 w 67"/>
                <a:gd name="T77" fmla="*/ 2 h 80"/>
                <a:gd name="T78" fmla="*/ 0 w 67"/>
                <a:gd name="T79" fmla="*/ 13 h 80"/>
                <a:gd name="T80" fmla="*/ 0 w 67"/>
                <a:gd name="T81" fmla="*/ 39 h 80"/>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67"/>
                <a:gd name="T124" fmla="*/ 0 h 80"/>
                <a:gd name="T125" fmla="*/ 67 w 67"/>
                <a:gd name="T126" fmla="*/ 80 h 80"/>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67" h="80">
                  <a:moveTo>
                    <a:pt x="0" y="39"/>
                  </a:moveTo>
                  <a:lnTo>
                    <a:pt x="5" y="51"/>
                  </a:lnTo>
                  <a:lnTo>
                    <a:pt x="7" y="37"/>
                  </a:lnTo>
                  <a:lnTo>
                    <a:pt x="7" y="15"/>
                  </a:lnTo>
                  <a:lnTo>
                    <a:pt x="11" y="5"/>
                  </a:lnTo>
                  <a:lnTo>
                    <a:pt x="18" y="-1"/>
                  </a:lnTo>
                  <a:lnTo>
                    <a:pt x="25" y="-8"/>
                  </a:lnTo>
                  <a:lnTo>
                    <a:pt x="35" y="-12"/>
                  </a:lnTo>
                  <a:lnTo>
                    <a:pt x="57" y="-12"/>
                  </a:lnTo>
                  <a:lnTo>
                    <a:pt x="67" y="-8"/>
                  </a:lnTo>
                  <a:lnTo>
                    <a:pt x="74" y="-1"/>
                  </a:lnTo>
                  <a:lnTo>
                    <a:pt x="82" y="5"/>
                  </a:lnTo>
                  <a:lnTo>
                    <a:pt x="86" y="15"/>
                  </a:lnTo>
                  <a:lnTo>
                    <a:pt x="86" y="37"/>
                  </a:lnTo>
                  <a:lnTo>
                    <a:pt x="82" y="47"/>
                  </a:lnTo>
                  <a:lnTo>
                    <a:pt x="74" y="54"/>
                  </a:lnTo>
                  <a:lnTo>
                    <a:pt x="67" y="62"/>
                  </a:lnTo>
                  <a:lnTo>
                    <a:pt x="57" y="66"/>
                  </a:lnTo>
                  <a:lnTo>
                    <a:pt x="35" y="66"/>
                  </a:lnTo>
                  <a:lnTo>
                    <a:pt x="25" y="61"/>
                  </a:lnTo>
                  <a:lnTo>
                    <a:pt x="18" y="54"/>
                  </a:lnTo>
                  <a:lnTo>
                    <a:pt x="11" y="47"/>
                  </a:lnTo>
                  <a:lnTo>
                    <a:pt x="13" y="59"/>
                  </a:lnTo>
                  <a:lnTo>
                    <a:pt x="22" y="68"/>
                  </a:lnTo>
                  <a:lnTo>
                    <a:pt x="33" y="73"/>
                  </a:lnTo>
                  <a:lnTo>
                    <a:pt x="59" y="73"/>
                  </a:lnTo>
                  <a:lnTo>
                    <a:pt x="71" y="68"/>
                  </a:lnTo>
                  <a:lnTo>
                    <a:pt x="79" y="59"/>
                  </a:lnTo>
                  <a:lnTo>
                    <a:pt x="88" y="51"/>
                  </a:lnTo>
                  <a:lnTo>
                    <a:pt x="93" y="39"/>
                  </a:lnTo>
                  <a:lnTo>
                    <a:pt x="93" y="13"/>
                  </a:lnTo>
                  <a:lnTo>
                    <a:pt x="88" y="2"/>
                  </a:lnTo>
                  <a:lnTo>
                    <a:pt x="79" y="-6"/>
                  </a:lnTo>
                  <a:lnTo>
                    <a:pt x="71" y="-14"/>
                  </a:lnTo>
                  <a:lnTo>
                    <a:pt x="59" y="-20"/>
                  </a:lnTo>
                  <a:lnTo>
                    <a:pt x="33" y="-20"/>
                  </a:lnTo>
                  <a:lnTo>
                    <a:pt x="22" y="-14"/>
                  </a:lnTo>
                  <a:lnTo>
                    <a:pt x="13" y="-6"/>
                  </a:lnTo>
                  <a:lnTo>
                    <a:pt x="5" y="2"/>
                  </a:lnTo>
                  <a:lnTo>
                    <a:pt x="0" y="13"/>
                  </a:lnTo>
                  <a:lnTo>
                    <a:pt x="0" y="39"/>
                  </a:lnTo>
                  <a:close/>
                </a:path>
              </a:pathLst>
            </a:custGeom>
            <a:solidFill>
              <a:srgbClr val="363435"/>
            </a:solidFill>
            <a:ln>
              <a:noFill/>
            </a:ln>
            <a:extLst>
              <a:ext uri="{91240B29-F687-4F45-9708-019B960494DF}">
                <a14:hiddenLine xmlns="" xmlns:a14="http://schemas.microsoft.com/office/drawing/2010/main" w="9525">
                  <a:solidFill>
                    <a:srgbClr val="000000"/>
                  </a:solidFill>
                  <a:round/>
                  <a:headEnd/>
                  <a:tailEnd/>
                </a14:hiddenLine>
              </a:ext>
            </a:extLst>
          </xdr:spPr>
        </xdr:sp>
      </xdr:grpSp>
      <xdr:grpSp>
        <xdr:nvGrpSpPr>
          <xdr:cNvPr id="634175" name="Group 34">
            <a:extLst>
              <a:ext uri="{FF2B5EF4-FFF2-40B4-BE49-F238E27FC236}">
                <a16:creationId xmlns="" xmlns:a16="http://schemas.microsoft.com/office/drawing/2014/main" id="{DF2A0BE0-EAD5-12C1-9DC5-313AE8767B61}"/>
              </a:ext>
            </a:extLst>
          </xdr:cNvPr>
          <xdr:cNvGrpSpPr>
            <a:grpSpLocks/>
          </xdr:cNvGrpSpPr>
        </xdr:nvGrpSpPr>
        <xdr:grpSpPr bwMode="auto">
          <a:xfrm>
            <a:off x="2437" y="1037"/>
            <a:ext cx="1375" cy="371"/>
            <a:chOff x="2437" y="1037"/>
            <a:chExt cx="1375" cy="371"/>
          </a:xfrm>
        </xdr:grpSpPr>
        <xdr:sp macro="" textlink="">
          <xdr:nvSpPr>
            <xdr:cNvPr id="634176" name="Freeform 35">
              <a:extLst>
                <a:ext uri="{FF2B5EF4-FFF2-40B4-BE49-F238E27FC236}">
                  <a16:creationId xmlns="" xmlns:a16="http://schemas.microsoft.com/office/drawing/2014/main" id="{A118EC42-A5A5-ED01-3694-227DD98F7B40}"/>
                </a:ext>
              </a:extLst>
            </xdr:cNvPr>
            <xdr:cNvSpPr>
              <a:spLocks/>
            </xdr:cNvSpPr>
          </xdr:nvSpPr>
          <xdr:spPr bwMode="auto">
            <a:xfrm>
              <a:off x="2437" y="1037"/>
              <a:ext cx="1375" cy="371"/>
            </a:xfrm>
            <a:custGeom>
              <a:avLst/>
              <a:gdLst>
                <a:gd name="T0" fmla="*/ 364 w 1375"/>
                <a:gd name="T1" fmla="*/ 288 h 371"/>
                <a:gd name="T2" fmla="*/ 367 w 1375"/>
                <a:gd name="T3" fmla="*/ 366 h 371"/>
                <a:gd name="T4" fmla="*/ 391 w 1375"/>
                <a:gd name="T5" fmla="*/ 369 h 371"/>
                <a:gd name="T6" fmla="*/ 405 w 1375"/>
                <a:gd name="T7" fmla="*/ 369 h 371"/>
                <a:gd name="T8" fmla="*/ 430 w 1375"/>
                <a:gd name="T9" fmla="*/ 368 h 371"/>
                <a:gd name="T10" fmla="*/ 405 w 1375"/>
                <a:gd name="T11" fmla="*/ 304 h 371"/>
                <a:gd name="T12" fmla="*/ 382 w 1375"/>
                <a:gd name="T13" fmla="*/ 300 h 371"/>
                <a:gd name="T14" fmla="*/ 364 w 1375"/>
                <a:gd name="T15" fmla="*/ 288 h 371"/>
                <a:gd name="T16" fmla="*/ 0 60000 65536"/>
                <a:gd name="T17" fmla="*/ 0 60000 65536"/>
                <a:gd name="T18" fmla="*/ 0 60000 65536"/>
                <a:gd name="T19" fmla="*/ 0 60000 65536"/>
                <a:gd name="T20" fmla="*/ 0 60000 65536"/>
                <a:gd name="T21" fmla="*/ 0 60000 65536"/>
                <a:gd name="T22" fmla="*/ 0 60000 65536"/>
                <a:gd name="T23" fmla="*/ 0 60000 65536"/>
                <a:gd name="T24" fmla="*/ 0 w 1375"/>
                <a:gd name="T25" fmla="*/ 0 h 371"/>
                <a:gd name="T26" fmla="*/ 1375 w 1375"/>
                <a:gd name="T27" fmla="*/ 371 h 371"/>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375" h="371">
                  <a:moveTo>
                    <a:pt x="364" y="288"/>
                  </a:moveTo>
                  <a:lnTo>
                    <a:pt x="367" y="366"/>
                  </a:lnTo>
                  <a:lnTo>
                    <a:pt x="391" y="369"/>
                  </a:lnTo>
                  <a:lnTo>
                    <a:pt x="405" y="369"/>
                  </a:lnTo>
                  <a:lnTo>
                    <a:pt x="430" y="368"/>
                  </a:lnTo>
                  <a:lnTo>
                    <a:pt x="405" y="304"/>
                  </a:lnTo>
                  <a:lnTo>
                    <a:pt x="382" y="300"/>
                  </a:lnTo>
                  <a:lnTo>
                    <a:pt x="364" y="288"/>
                  </a:lnTo>
                  <a:close/>
                </a:path>
              </a:pathLst>
            </a:custGeom>
            <a:solidFill>
              <a:srgbClr val="363435"/>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634177" name="Freeform 36">
              <a:extLst>
                <a:ext uri="{FF2B5EF4-FFF2-40B4-BE49-F238E27FC236}">
                  <a16:creationId xmlns="" xmlns:a16="http://schemas.microsoft.com/office/drawing/2014/main" id="{27B6F4E4-9843-74DF-30B0-758BABF4901D}"/>
                </a:ext>
              </a:extLst>
            </xdr:cNvPr>
            <xdr:cNvSpPr>
              <a:spLocks/>
            </xdr:cNvSpPr>
          </xdr:nvSpPr>
          <xdr:spPr bwMode="auto">
            <a:xfrm>
              <a:off x="2437" y="1037"/>
              <a:ext cx="1375" cy="371"/>
            </a:xfrm>
            <a:custGeom>
              <a:avLst/>
              <a:gdLst>
                <a:gd name="T0" fmla="*/ 1092 w 1375"/>
                <a:gd name="T1" fmla="*/ 32 h 371"/>
                <a:gd name="T2" fmla="*/ 1092 w 1375"/>
                <a:gd name="T3" fmla="*/ 363 h 371"/>
                <a:gd name="T4" fmla="*/ 1186 w 1375"/>
                <a:gd name="T5" fmla="*/ 363 h 371"/>
                <a:gd name="T6" fmla="*/ 1186 w 1375"/>
                <a:gd name="T7" fmla="*/ 229 h 371"/>
                <a:gd name="T8" fmla="*/ 1187 w 1375"/>
                <a:gd name="T9" fmla="*/ 229 h 371"/>
                <a:gd name="T10" fmla="*/ 1262 w 1375"/>
                <a:gd name="T11" fmla="*/ 363 h 371"/>
                <a:gd name="T12" fmla="*/ 1375 w 1375"/>
                <a:gd name="T13" fmla="*/ 363 h 371"/>
                <a:gd name="T14" fmla="*/ 1273 w 1375"/>
                <a:gd name="T15" fmla="*/ 217 h 371"/>
                <a:gd name="T16" fmla="*/ 1367 w 1375"/>
                <a:gd name="T17" fmla="*/ 93 h 371"/>
                <a:gd name="T18" fmla="*/ 1265 w 1375"/>
                <a:gd name="T19" fmla="*/ 93 h 371"/>
                <a:gd name="T20" fmla="*/ 1187 w 1375"/>
                <a:gd name="T21" fmla="*/ 206 h 371"/>
                <a:gd name="T22" fmla="*/ 1186 w 1375"/>
                <a:gd name="T23" fmla="*/ 206 h 371"/>
                <a:gd name="T24" fmla="*/ 1186 w 1375"/>
                <a:gd name="T25" fmla="*/ 0 h 371"/>
                <a:gd name="T26" fmla="*/ 1092 w 1375"/>
                <a:gd name="T27" fmla="*/ 32 h 371"/>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375"/>
                <a:gd name="T43" fmla="*/ 0 h 371"/>
                <a:gd name="T44" fmla="*/ 1375 w 1375"/>
                <a:gd name="T45" fmla="*/ 371 h 371"/>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375" h="371">
                  <a:moveTo>
                    <a:pt x="1092" y="32"/>
                  </a:moveTo>
                  <a:lnTo>
                    <a:pt x="1092" y="363"/>
                  </a:lnTo>
                  <a:lnTo>
                    <a:pt x="1186" y="363"/>
                  </a:lnTo>
                  <a:lnTo>
                    <a:pt x="1186" y="229"/>
                  </a:lnTo>
                  <a:lnTo>
                    <a:pt x="1187" y="229"/>
                  </a:lnTo>
                  <a:lnTo>
                    <a:pt x="1262" y="363"/>
                  </a:lnTo>
                  <a:lnTo>
                    <a:pt x="1375" y="363"/>
                  </a:lnTo>
                  <a:lnTo>
                    <a:pt x="1273" y="217"/>
                  </a:lnTo>
                  <a:lnTo>
                    <a:pt x="1367" y="93"/>
                  </a:lnTo>
                  <a:lnTo>
                    <a:pt x="1265" y="93"/>
                  </a:lnTo>
                  <a:lnTo>
                    <a:pt x="1187" y="206"/>
                  </a:lnTo>
                  <a:lnTo>
                    <a:pt x="1186" y="206"/>
                  </a:lnTo>
                  <a:lnTo>
                    <a:pt x="1186" y="0"/>
                  </a:lnTo>
                  <a:lnTo>
                    <a:pt x="1092" y="32"/>
                  </a:lnTo>
                  <a:close/>
                </a:path>
              </a:pathLst>
            </a:custGeom>
            <a:solidFill>
              <a:srgbClr val="363435"/>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634178" name="Freeform 37">
              <a:extLst>
                <a:ext uri="{FF2B5EF4-FFF2-40B4-BE49-F238E27FC236}">
                  <a16:creationId xmlns="" xmlns:a16="http://schemas.microsoft.com/office/drawing/2014/main" id="{78833835-85B6-7B5E-EB18-97AB9D8F150E}"/>
                </a:ext>
              </a:extLst>
            </xdr:cNvPr>
            <xdr:cNvSpPr>
              <a:spLocks/>
            </xdr:cNvSpPr>
          </xdr:nvSpPr>
          <xdr:spPr bwMode="auto">
            <a:xfrm>
              <a:off x="2437" y="1037"/>
              <a:ext cx="1375" cy="371"/>
            </a:xfrm>
            <a:custGeom>
              <a:avLst/>
              <a:gdLst>
                <a:gd name="T0" fmla="*/ 0 w 1375"/>
                <a:gd name="T1" fmla="*/ 31 h 371"/>
                <a:gd name="T2" fmla="*/ 0 w 1375"/>
                <a:gd name="T3" fmla="*/ 363 h 371"/>
                <a:gd name="T4" fmla="*/ 93 w 1375"/>
                <a:gd name="T5" fmla="*/ 363 h 371"/>
                <a:gd name="T6" fmla="*/ 93 w 1375"/>
                <a:gd name="T7" fmla="*/ 229 h 371"/>
                <a:gd name="T8" fmla="*/ 94 w 1375"/>
                <a:gd name="T9" fmla="*/ 229 h 371"/>
                <a:gd name="T10" fmla="*/ 169 w 1375"/>
                <a:gd name="T11" fmla="*/ 363 h 371"/>
                <a:gd name="T12" fmla="*/ 282 w 1375"/>
                <a:gd name="T13" fmla="*/ 363 h 371"/>
                <a:gd name="T14" fmla="*/ 180 w 1375"/>
                <a:gd name="T15" fmla="*/ 217 h 371"/>
                <a:gd name="T16" fmla="*/ 274 w 1375"/>
                <a:gd name="T17" fmla="*/ 93 h 371"/>
                <a:gd name="T18" fmla="*/ 172 w 1375"/>
                <a:gd name="T19" fmla="*/ 93 h 371"/>
                <a:gd name="T20" fmla="*/ 94 w 1375"/>
                <a:gd name="T21" fmla="*/ 206 h 371"/>
                <a:gd name="T22" fmla="*/ 93 w 1375"/>
                <a:gd name="T23" fmla="*/ 206 h 371"/>
                <a:gd name="T24" fmla="*/ 93 w 1375"/>
                <a:gd name="T25" fmla="*/ 0 h 371"/>
                <a:gd name="T26" fmla="*/ 0 w 1375"/>
                <a:gd name="T27" fmla="*/ 31 h 371"/>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375"/>
                <a:gd name="T43" fmla="*/ 0 h 371"/>
                <a:gd name="T44" fmla="*/ 1375 w 1375"/>
                <a:gd name="T45" fmla="*/ 371 h 371"/>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375" h="371">
                  <a:moveTo>
                    <a:pt x="0" y="31"/>
                  </a:moveTo>
                  <a:lnTo>
                    <a:pt x="0" y="363"/>
                  </a:lnTo>
                  <a:lnTo>
                    <a:pt x="93" y="363"/>
                  </a:lnTo>
                  <a:lnTo>
                    <a:pt x="93" y="229"/>
                  </a:lnTo>
                  <a:lnTo>
                    <a:pt x="94" y="229"/>
                  </a:lnTo>
                  <a:lnTo>
                    <a:pt x="169" y="363"/>
                  </a:lnTo>
                  <a:lnTo>
                    <a:pt x="282" y="363"/>
                  </a:lnTo>
                  <a:lnTo>
                    <a:pt x="180" y="217"/>
                  </a:lnTo>
                  <a:lnTo>
                    <a:pt x="274" y="93"/>
                  </a:lnTo>
                  <a:lnTo>
                    <a:pt x="172" y="93"/>
                  </a:lnTo>
                  <a:lnTo>
                    <a:pt x="94" y="206"/>
                  </a:lnTo>
                  <a:lnTo>
                    <a:pt x="93" y="206"/>
                  </a:lnTo>
                  <a:lnTo>
                    <a:pt x="93" y="0"/>
                  </a:lnTo>
                  <a:lnTo>
                    <a:pt x="0" y="31"/>
                  </a:lnTo>
                  <a:close/>
                </a:path>
              </a:pathLst>
            </a:custGeom>
            <a:solidFill>
              <a:srgbClr val="363435"/>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634179" name="Freeform 38">
              <a:extLst>
                <a:ext uri="{FF2B5EF4-FFF2-40B4-BE49-F238E27FC236}">
                  <a16:creationId xmlns="" xmlns:a16="http://schemas.microsoft.com/office/drawing/2014/main" id="{BF2A5F94-5B71-3E89-05CF-BE6A8F917F19}"/>
                </a:ext>
              </a:extLst>
            </xdr:cNvPr>
            <xdr:cNvSpPr>
              <a:spLocks/>
            </xdr:cNvSpPr>
          </xdr:nvSpPr>
          <xdr:spPr bwMode="auto">
            <a:xfrm>
              <a:off x="2437" y="1037"/>
              <a:ext cx="1375" cy="371"/>
            </a:xfrm>
            <a:custGeom>
              <a:avLst/>
              <a:gdLst>
                <a:gd name="T0" fmla="*/ 700 w 1375"/>
                <a:gd name="T1" fmla="*/ 93 h 371"/>
                <a:gd name="T2" fmla="*/ 700 w 1375"/>
                <a:gd name="T3" fmla="*/ 0 h 371"/>
                <a:gd name="T4" fmla="*/ 609 w 1375"/>
                <a:gd name="T5" fmla="*/ 32 h 371"/>
                <a:gd name="T6" fmla="*/ 609 w 1375"/>
                <a:gd name="T7" fmla="*/ 93 h 371"/>
                <a:gd name="T8" fmla="*/ 554 w 1375"/>
                <a:gd name="T9" fmla="*/ 93 h 371"/>
                <a:gd name="T10" fmla="*/ 554 w 1375"/>
                <a:gd name="T11" fmla="*/ 158 h 371"/>
                <a:gd name="T12" fmla="*/ 607 w 1375"/>
                <a:gd name="T13" fmla="*/ 158 h 371"/>
                <a:gd name="T14" fmla="*/ 607 w 1375"/>
                <a:gd name="T15" fmla="*/ 268 h 371"/>
                <a:gd name="T16" fmla="*/ 608 w 1375"/>
                <a:gd name="T17" fmla="*/ 293 h 371"/>
                <a:gd name="T18" fmla="*/ 613 w 1375"/>
                <a:gd name="T19" fmla="*/ 315 h 371"/>
                <a:gd name="T20" fmla="*/ 621 w 1375"/>
                <a:gd name="T21" fmla="*/ 333 h 371"/>
                <a:gd name="T22" fmla="*/ 633 w 1375"/>
                <a:gd name="T23" fmla="*/ 348 h 371"/>
                <a:gd name="T24" fmla="*/ 650 w 1375"/>
                <a:gd name="T25" fmla="*/ 359 h 371"/>
                <a:gd name="T26" fmla="*/ 673 w 1375"/>
                <a:gd name="T27" fmla="*/ 366 h 371"/>
                <a:gd name="T28" fmla="*/ 703 w 1375"/>
                <a:gd name="T29" fmla="*/ 369 h 371"/>
                <a:gd name="T30" fmla="*/ 711 w 1375"/>
                <a:gd name="T31" fmla="*/ 369 h 371"/>
                <a:gd name="T32" fmla="*/ 733 w 1375"/>
                <a:gd name="T33" fmla="*/ 368 h 371"/>
                <a:gd name="T34" fmla="*/ 752 w 1375"/>
                <a:gd name="T35" fmla="*/ 366 h 371"/>
                <a:gd name="T36" fmla="*/ 769 w 1375"/>
                <a:gd name="T37" fmla="*/ 364 h 371"/>
                <a:gd name="T38" fmla="*/ 766 w 1375"/>
                <a:gd name="T39" fmla="*/ 303 h 371"/>
                <a:gd name="T40" fmla="*/ 757 w 1375"/>
                <a:gd name="T41" fmla="*/ 305 h 371"/>
                <a:gd name="T42" fmla="*/ 747 w 1375"/>
                <a:gd name="T43" fmla="*/ 307 h 371"/>
                <a:gd name="T44" fmla="*/ 738 w 1375"/>
                <a:gd name="T45" fmla="*/ 307 h 371"/>
                <a:gd name="T46" fmla="*/ 715 w 1375"/>
                <a:gd name="T47" fmla="*/ 302 h 371"/>
                <a:gd name="T48" fmla="*/ 704 w 1375"/>
                <a:gd name="T49" fmla="*/ 286 h 371"/>
                <a:gd name="T50" fmla="*/ 700 w 1375"/>
                <a:gd name="T51" fmla="*/ 261 h 371"/>
                <a:gd name="T52" fmla="*/ 700 w 1375"/>
                <a:gd name="T53" fmla="*/ 158 h 371"/>
                <a:gd name="T54" fmla="*/ 766 w 1375"/>
                <a:gd name="T55" fmla="*/ 158 h 371"/>
                <a:gd name="T56" fmla="*/ 766 w 1375"/>
                <a:gd name="T57" fmla="*/ 93 h 371"/>
                <a:gd name="T58" fmla="*/ 700 w 1375"/>
                <a:gd name="T59" fmla="*/ 93 h 371"/>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1375"/>
                <a:gd name="T91" fmla="*/ 0 h 371"/>
                <a:gd name="T92" fmla="*/ 1375 w 1375"/>
                <a:gd name="T93" fmla="*/ 371 h 371"/>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1375" h="371">
                  <a:moveTo>
                    <a:pt x="700" y="93"/>
                  </a:moveTo>
                  <a:lnTo>
                    <a:pt x="700" y="0"/>
                  </a:lnTo>
                  <a:lnTo>
                    <a:pt x="609" y="32"/>
                  </a:lnTo>
                  <a:lnTo>
                    <a:pt x="609" y="93"/>
                  </a:lnTo>
                  <a:lnTo>
                    <a:pt x="554" y="93"/>
                  </a:lnTo>
                  <a:lnTo>
                    <a:pt x="554" y="158"/>
                  </a:lnTo>
                  <a:lnTo>
                    <a:pt x="607" y="158"/>
                  </a:lnTo>
                  <a:lnTo>
                    <a:pt x="607" y="268"/>
                  </a:lnTo>
                  <a:lnTo>
                    <a:pt x="608" y="293"/>
                  </a:lnTo>
                  <a:lnTo>
                    <a:pt x="613" y="315"/>
                  </a:lnTo>
                  <a:lnTo>
                    <a:pt x="621" y="333"/>
                  </a:lnTo>
                  <a:lnTo>
                    <a:pt x="633" y="348"/>
                  </a:lnTo>
                  <a:lnTo>
                    <a:pt x="650" y="359"/>
                  </a:lnTo>
                  <a:lnTo>
                    <a:pt x="673" y="366"/>
                  </a:lnTo>
                  <a:lnTo>
                    <a:pt x="703" y="369"/>
                  </a:lnTo>
                  <a:lnTo>
                    <a:pt x="711" y="369"/>
                  </a:lnTo>
                  <a:lnTo>
                    <a:pt x="733" y="368"/>
                  </a:lnTo>
                  <a:lnTo>
                    <a:pt x="752" y="366"/>
                  </a:lnTo>
                  <a:lnTo>
                    <a:pt x="769" y="364"/>
                  </a:lnTo>
                  <a:lnTo>
                    <a:pt x="766" y="303"/>
                  </a:lnTo>
                  <a:lnTo>
                    <a:pt x="757" y="305"/>
                  </a:lnTo>
                  <a:lnTo>
                    <a:pt x="747" y="307"/>
                  </a:lnTo>
                  <a:lnTo>
                    <a:pt x="738" y="307"/>
                  </a:lnTo>
                  <a:lnTo>
                    <a:pt x="715" y="302"/>
                  </a:lnTo>
                  <a:lnTo>
                    <a:pt x="704" y="286"/>
                  </a:lnTo>
                  <a:lnTo>
                    <a:pt x="700" y="261"/>
                  </a:lnTo>
                  <a:lnTo>
                    <a:pt x="700" y="158"/>
                  </a:lnTo>
                  <a:lnTo>
                    <a:pt x="766" y="158"/>
                  </a:lnTo>
                  <a:lnTo>
                    <a:pt x="766" y="93"/>
                  </a:lnTo>
                  <a:lnTo>
                    <a:pt x="700" y="93"/>
                  </a:lnTo>
                  <a:close/>
                </a:path>
              </a:pathLst>
            </a:custGeom>
            <a:solidFill>
              <a:srgbClr val="363435"/>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634180" name="Freeform 39">
              <a:extLst>
                <a:ext uri="{FF2B5EF4-FFF2-40B4-BE49-F238E27FC236}">
                  <a16:creationId xmlns="" xmlns:a16="http://schemas.microsoft.com/office/drawing/2014/main" id="{37C2F1BE-04F5-658F-4BAD-D083C166B939}"/>
                </a:ext>
              </a:extLst>
            </xdr:cNvPr>
            <xdr:cNvSpPr>
              <a:spLocks/>
            </xdr:cNvSpPr>
          </xdr:nvSpPr>
          <xdr:spPr bwMode="auto">
            <a:xfrm>
              <a:off x="2437" y="1037"/>
              <a:ext cx="1375" cy="371"/>
            </a:xfrm>
            <a:custGeom>
              <a:avLst/>
              <a:gdLst>
                <a:gd name="T0" fmla="*/ 867 w 1375"/>
                <a:gd name="T1" fmla="*/ 370 h 371"/>
                <a:gd name="T2" fmla="*/ 875 w 1375"/>
                <a:gd name="T3" fmla="*/ 259 h 371"/>
                <a:gd name="T4" fmla="*/ 915 w 1375"/>
                <a:gd name="T5" fmla="*/ 242 h 371"/>
                <a:gd name="T6" fmla="*/ 940 w 1375"/>
                <a:gd name="T7" fmla="*/ 242 h 371"/>
                <a:gd name="T8" fmla="*/ 966 w 1375"/>
                <a:gd name="T9" fmla="*/ 243 h 371"/>
                <a:gd name="T10" fmla="*/ 952 w 1375"/>
                <a:gd name="T11" fmla="*/ 284 h 371"/>
                <a:gd name="T12" fmla="*/ 916 w 1375"/>
                <a:gd name="T13" fmla="*/ 307 h 371"/>
                <a:gd name="T14" fmla="*/ 924 w 1375"/>
                <a:gd name="T15" fmla="*/ 363 h 371"/>
                <a:gd name="T16" fmla="*/ 956 w 1375"/>
                <a:gd name="T17" fmla="*/ 339 h 371"/>
                <a:gd name="T18" fmla="*/ 971 w 1375"/>
                <a:gd name="T19" fmla="*/ 321 h 371"/>
                <a:gd name="T20" fmla="*/ 973 w 1375"/>
                <a:gd name="T21" fmla="*/ 361 h 371"/>
                <a:gd name="T22" fmla="*/ 1059 w 1375"/>
                <a:gd name="T23" fmla="*/ 364 h 371"/>
                <a:gd name="T24" fmla="*/ 1055 w 1375"/>
                <a:gd name="T25" fmla="*/ 325 h 371"/>
                <a:gd name="T26" fmla="*/ 1054 w 1375"/>
                <a:gd name="T27" fmla="*/ 198 h 371"/>
                <a:gd name="T28" fmla="*/ 1045 w 1375"/>
                <a:gd name="T29" fmla="*/ 148 h 371"/>
                <a:gd name="T30" fmla="*/ 1020 w 1375"/>
                <a:gd name="T31" fmla="*/ 114 h 371"/>
                <a:gd name="T32" fmla="*/ 984 w 1375"/>
                <a:gd name="T33" fmla="*/ 94 h 371"/>
                <a:gd name="T34" fmla="*/ 939 w 1375"/>
                <a:gd name="T35" fmla="*/ 85 h 371"/>
                <a:gd name="T36" fmla="*/ 903 w 1375"/>
                <a:gd name="T37" fmla="*/ 85 h 371"/>
                <a:gd name="T38" fmla="*/ 862 w 1375"/>
                <a:gd name="T39" fmla="*/ 90 h 371"/>
                <a:gd name="T40" fmla="*/ 825 w 1375"/>
                <a:gd name="T41" fmla="*/ 100 h 371"/>
                <a:gd name="T42" fmla="*/ 816 w 1375"/>
                <a:gd name="T43" fmla="*/ 168 h 371"/>
                <a:gd name="T44" fmla="*/ 854 w 1375"/>
                <a:gd name="T45" fmla="*/ 153 h 371"/>
                <a:gd name="T46" fmla="*/ 894 w 1375"/>
                <a:gd name="T47" fmla="*/ 148 h 371"/>
                <a:gd name="T48" fmla="*/ 928 w 1375"/>
                <a:gd name="T49" fmla="*/ 150 h 371"/>
                <a:gd name="T50" fmla="*/ 961 w 1375"/>
                <a:gd name="T51" fmla="*/ 173 h 371"/>
                <a:gd name="T52" fmla="*/ 947 w 1375"/>
                <a:gd name="T53" fmla="*/ 192 h 371"/>
                <a:gd name="T54" fmla="*/ 922 w 1375"/>
                <a:gd name="T55" fmla="*/ 191 h 371"/>
                <a:gd name="T56" fmla="*/ 881 w 1375"/>
                <a:gd name="T57" fmla="*/ 194 h 371"/>
                <a:gd name="T58" fmla="*/ 837 w 1375"/>
                <a:gd name="T59" fmla="*/ 205 h 371"/>
                <a:gd name="T60" fmla="*/ 800 w 1375"/>
                <a:gd name="T61" fmla="*/ 229 h 371"/>
                <a:gd name="T62" fmla="*/ 781 w 1375"/>
                <a:gd name="T63" fmla="*/ 272 h 371"/>
                <a:gd name="T64" fmla="*/ 784 w 1375"/>
                <a:gd name="T65" fmla="*/ 309 h 371"/>
                <a:gd name="T66" fmla="*/ 806 w 1375"/>
                <a:gd name="T67" fmla="*/ 345 h 371"/>
                <a:gd name="T68" fmla="*/ 844 w 1375"/>
                <a:gd name="T69" fmla="*/ 365 h 371"/>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1375"/>
                <a:gd name="T106" fmla="*/ 0 h 371"/>
                <a:gd name="T107" fmla="*/ 1375 w 1375"/>
                <a:gd name="T108" fmla="*/ 371 h 371"/>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1375" h="371">
                  <a:moveTo>
                    <a:pt x="844" y="365"/>
                  </a:moveTo>
                  <a:lnTo>
                    <a:pt x="867" y="370"/>
                  </a:lnTo>
                  <a:lnTo>
                    <a:pt x="869" y="278"/>
                  </a:lnTo>
                  <a:lnTo>
                    <a:pt x="875" y="259"/>
                  </a:lnTo>
                  <a:lnTo>
                    <a:pt x="891" y="247"/>
                  </a:lnTo>
                  <a:lnTo>
                    <a:pt x="915" y="242"/>
                  </a:lnTo>
                  <a:lnTo>
                    <a:pt x="926" y="242"/>
                  </a:lnTo>
                  <a:lnTo>
                    <a:pt x="940" y="242"/>
                  </a:lnTo>
                  <a:lnTo>
                    <a:pt x="954" y="243"/>
                  </a:lnTo>
                  <a:lnTo>
                    <a:pt x="966" y="243"/>
                  </a:lnTo>
                  <a:lnTo>
                    <a:pt x="962" y="265"/>
                  </a:lnTo>
                  <a:lnTo>
                    <a:pt x="952" y="284"/>
                  </a:lnTo>
                  <a:lnTo>
                    <a:pt x="937" y="299"/>
                  </a:lnTo>
                  <a:lnTo>
                    <a:pt x="916" y="307"/>
                  </a:lnTo>
                  <a:lnTo>
                    <a:pt x="908" y="308"/>
                  </a:lnTo>
                  <a:lnTo>
                    <a:pt x="924" y="363"/>
                  </a:lnTo>
                  <a:lnTo>
                    <a:pt x="941" y="353"/>
                  </a:lnTo>
                  <a:lnTo>
                    <a:pt x="956" y="339"/>
                  </a:lnTo>
                  <a:lnTo>
                    <a:pt x="970" y="321"/>
                  </a:lnTo>
                  <a:lnTo>
                    <a:pt x="971" y="321"/>
                  </a:lnTo>
                  <a:lnTo>
                    <a:pt x="971" y="341"/>
                  </a:lnTo>
                  <a:lnTo>
                    <a:pt x="973" y="361"/>
                  </a:lnTo>
                  <a:lnTo>
                    <a:pt x="973" y="364"/>
                  </a:lnTo>
                  <a:lnTo>
                    <a:pt x="1059" y="364"/>
                  </a:lnTo>
                  <a:lnTo>
                    <a:pt x="1056" y="344"/>
                  </a:lnTo>
                  <a:lnTo>
                    <a:pt x="1055" y="325"/>
                  </a:lnTo>
                  <a:lnTo>
                    <a:pt x="1054" y="305"/>
                  </a:lnTo>
                  <a:lnTo>
                    <a:pt x="1054" y="198"/>
                  </a:lnTo>
                  <a:lnTo>
                    <a:pt x="1052" y="171"/>
                  </a:lnTo>
                  <a:lnTo>
                    <a:pt x="1045" y="148"/>
                  </a:lnTo>
                  <a:lnTo>
                    <a:pt x="1034" y="129"/>
                  </a:lnTo>
                  <a:lnTo>
                    <a:pt x="1020" y="114"/>
                  </a:lnTo>
                  <a:lnTo>
                    <a:pt x="1003" y="102"/>
                  </a:lnTo>
                  <a:lnTo>
                    <a:pt x="984" y="94"/>
                  </a:lnTo>
                  <a:lnTo>
                    <a:pt x="962" y="88"/>
                  </a:lnTo>
                  <a:lnTo>
                    <a:pt x="939" y="85"/>
                  </a:lnTo>
                  <a:lnTo>
                    <a:pt x="924" y="85"/>
                  </a:lnTo>
                  <a:lnTo>
                    <a:pt x="903" y="85"/>
                  </a:lnTo>
                  <a:lnTo>
                    <a:pt x="882" y="87"/>
                  </a:lnTo>
                  <a:lnTo>
                    <a:pt x="862" y="90"/>
                  </a:lnTo>
                  <a:lnTo>
                    <a:pt x="843" y="94"/>
                  </a:lnTo>
                  <a:lnTo>
                    <a:pt x="825" y="100"/>
                  </a:lnTo>
                  <a:lnTo>
                    <a:pt x="815" y="104"/>
                  </a:lnTo>
                  <a:lnTo>
                    <a:pt x="816" y="168"/>
                  </a:lnTo>
                  <a:lnTo>
                    <a:pt x="835" y="160"/>
                  </a:lnTo>
                  <a:lnTo>
                    <a:pt x="854" y="153"/>
                  </a:lnTo>
                  <a:lnTo>
                    <a:pt x="874" y="150"/>
                  </a:lnTo>
                  <a:lnTo>
                    <a:pt x="894" y="148"/>
                  </a:lnTo>
                  <a:lnTo>
                    <a:pt x="903" y="148"/>
                  </a:lnTo>
                  <a:lnTo>
                    <a:pt x="928" y="150"/>
                  </a:lnTo>
                  <a:lnTo>
                    <a:pt x="948" y="158"/>
                  </a:lnTo>
                  <a:lnTo>
                    <a:pt x="961" y="173"/>
                  </a:lnTo>
                  <a:lnTo>
                    <a:pt x="966" y="195"/>
                  </a:lnTo>
                  <a:lnTo>
                    <a:pt x="947" y="192"/>
                  </a:lnTo>
                  <a:lnTo>
                    <a:pt x="926" y="191"/>
                  </a:lnTo>
                  <a:lnTo>
                    <a:pt x="922" y="191"/>
                  </a:lnTo>
                  <a:lnTo>
                    <a:pt x="902" y="192"/>
                  </a:lnTo>
                  <a:lnTo>
                    <a:pt x="881" y="194"/>
                  </a:lnTo>
                  <a:lnTo>
                    <a:pt x="859" y="198"/>
                  </a:lnTo>
                  <a:lnTo>
                    <a:pt x="837" y="205"/>
                  </a:lnTo>
                  <a:lnTo>
                    <a:pt x="817" y="215"/>
                  </a:lnTo>
                  <a:lnTo>
                    <a:pt x="800" y="229"/>
                  </a:lnTo>
                  <a:lnTo>
                    <a:pt x="788" y="248"/>
                  </a:lnTo>
                  <a:lnTo>
                    <a:pt x="781" y="272"/>
                  </a:lnTo>
                  <a:lnTo>
                    <a:pt x="781" y="285"/>
                  </a:lnTo>
                  <a:lnTo>
                    <a:pt x="784" y="309"/>
                  </a:lnTo>
                  <a:lnTo>
                    <a:pt x="792" y="329"/>
                  </a:lnTo>
                  <a:lnTo>
                    <a:pt x="806" y="345"/>
                  </a:lnTo>
                  <a:lnTo>
                    <a:pt x="823" y="357"/>
                  </a:lnTo>
                  <a:lnTo>
                    <a:pt x="844" y="365"/>
                  </a:lnTo>
                  <a:close/>
                </a:path>
              </a:pathLst>
            </a:custGeom>
            <a:solidFill>
              <a:srgbClr val="363435"/>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634181" name="Freeform 40">
              <a:extLst>
                <a:ext uri="{FF2B5EF4-FFF2-40B4-BE49-F238E27FC236}">
                  <a16:creationId xmlns="" xmlns:a16="http://schemas.microsoft.com/office/drawing/2014/main" id="{85AE50D5-C1CA-2E8B-6377-9253E35C636D}"/>
                </a:ext>
              </a:extLst>
            </xdr:cNvPr>
            <xdr:cNvSpPr>
              <a:spLocks/>
            </xdr:cNvSpPr>
          </xdr:nvSpPr>
          <xdr:spPr bwMode="auto">
            <a:xfrm>
              <a:off x="2437" y="1037"/>
              <a:ext cx="1375" cy="371"/>
            </a:xfrm>
            <a:custGeom>
              <a:avLst/>
              <a:gdLst>
                <a:gd name="T0" fmla="*/ 924 w 1375"/>
                <a:gd name="T1" fmla="*/ 363 h 371"/>
                <a:gd name="T2" fmla="*/ 908 w 1375"/>
                <a:gd name="T3" fmla="*/ 308 h 371"/>
                <a:gd name="T4" fmla="*/ 884 w 1375"/>
                <a:gd name="T5" fmla="*/ 302 h 371"/>
                <a:gd name="T6" fmla="*/ 870 w 1375"/>
                <a:gd name="T7" fmla="*/ 287 h 371"/>
                <a:gd name="T8" fmla="*/ 869 w 1375"/>
                <a:gd name="T9" fmla="*/ 278 h 371"/>
                <a:gd name="T10" fmla="*/ 867 w 1375"/>
                <a:gd name="T11" fmla="*/ 370 h 371"/>
                <a:gd name="T12" fmla="*/ 883 w 1375"/>
                <a:gd name="T13" fmla="*/ 371 h 371"/>
                <a:gd name="T14" fmla="*/ 905 w 1375"/>
                <a:gd name="T15" fmla="*/ 369 h 371"/>
                <a:gd name="T16" fmla="*/ 924 w 1375"/>
                <a:gd name="T17" fmla="*/ 363 h 37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375"/>
                <a:gd name="T28" fmla="*/ 0 h 371"/>
                <a:gd name="T29" fmla="*/ 1375 w 1375"/>
                <a:gd name="T30" fmla="*/ 371 h 37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375" h="371">
                  <a:moveTo>
                    <a:pt x="924" y="363"/>
                  </a:moveTo>
                  <a:lnTo>
                    <a:pt x="908" y="308"/>
                  </a:lnTo>
                  <a:lnTo>
                    <a:pt x="884" y="302"/>
                  </a:lnTo>
                  <a:lnTo>
                    <a:pt x="870" y="287"/>
                  </a:lnTo>
                  <a:lnTo>
                    <a:pt x="869" y="278"/>
                  </a:lnTo>
                  <a:lnTo>
                    <a:pt x="867" y="370"/>
                  </a:lnTo>
                  <a:lnTo>
                    <a:pt x="883" y="371"/>
                  </a:lnTo>
                  <a:lnTo>
                    <a:pt x="905" y="369"/>
                  </a:lnTo>
                  <a:lnTo>
                    <a:pt x="924" y="363"/>
                  </a:lnTo>
                  <a:close/>
                </a:path>
              </a:pathLst>
            </a:custGeom>
            <a:solidFill>
              <a:srgbClr val="363435"/>
            </a:solidFill>
            <a:ln>
              <a:noFill/>
            </a:ln>
            <a:extLst>
              <a:ext uri="{91240B29-F687-4F45-9708-019B960494DF}">
                <a14:hiddenLine xmlns="" xmlns:a14="http://schemas.microsoft.com/office/drawing/2010/main" w="9525">
                  <a:solidFill>
                    <a:srgbClr val="000000"/>
                  </a:solidFill>
                  <a:round/>
                  <a:headEnd/>
                  <a:tailEnd/>
                </a14:hiddenLine>
              </a:ext>
            </a:extLst>
          </xdr:spPr>
        </xdr:sp>
        <xdr:sp macro="" textlink="">
          <xdr:nvSpPr>
            <xdr:cNvPr id="634182" name="Freeform 41">
              <a:extLst>
                <a:ext uri="{FF2B5EF4-FFF2-40B4-BE49-F238E27FC236}">
                  <a16:creationId xmlns="" xmlns:a16="http://schemas.microsoft.com/office/drawing/2014/main" id="{95B4BD49-8795-32CF-574E-557AED0943BE}"/>
                </a:ext>
              </a:extLst>
            </xdr:cNvPr>
            <xdr:cNvSpPr>
              <a:spLocks/>
            </xdr:cNvSpPr>
          </xdr:nvSpPr>
          <xdr:spPr bwMode="auto">
            <a:xfrm>
              <a:off x="2437" y="1037"/>
              <a:ext cx="1375" cy="371"/>
            </a:xfrm>
            <a:custGeom>
              <a:avLst/>
              <a:gdLst>
                <a:gd name="T0" fmla="*/ 344 w 1375"/>
                <a:gd name="T1" fmla="*/ 228 h 371"/>
                <a:gd name="T2" fmla="*/ 347 w 1375"/>
                <a:gd name="T3" fmla="*/ 204 h 371"/>
                <a:gd name="T4" fmla="*/ 354 w 1375"/>
                <a:gd name="T5" fmla="*/ 183 h 371"/>
                <a:gd name="T6" fmla="*/ 366 w 1375"/>
                <a:gd name="T7" fmla="*/ 166 h 371"/>
                <a:gd name="T8" fmla="*/ 384 w 1375"/>
                <a:gd name="T9" fmla="*/ 155 h 371"/>
                <a:gd name="T10" fmla="*/ 405 w 1375"/>
                <a:gd name="T11" fmla="*/ 152 h 371"/>
                <a:gd name="T12" fmla="*/ 429 w 1375"/>
                <a:gd name="T13" fmla="*/ 156 h 371"/>
                <a:gd name="T14" fmla="*/ 446 w 1375"/>
                <a:gd name="T15" fmla="*/ 168 h 371"/>
                <a:gd name="T16" fmla="*/ 458 w 1375"/>
                <a:gd name="T17" fmla="*/ 185 h 371"/>
                <a:gd name="T18" fmla="*/ 464 w 1375"/>
                <a:gd name="T19" fmla="*/ 207 h 371"/>
                <a:gd name="T20" fmla="*/ 466 w 1375"/>
                <a:gd name="T21" fmla="*/ 228 h 371"/>
                <a:gd name="T22" fmla="*/ 464 w 1375"/>
                <a:gd name="T23" fmla="*/ 252 h 371"/>
                <a:gd name="T24" fmla="*/ 456 w 1375"/>
                <a:gd name="T25" fmla="*/ 273 h 371"/>
                <a:gd name="T26" fmla="*/ 444 w 1375"/>
                <a:gd name="T27" fmla="*/ 290 h 371"/>
                <a:gd name="T28" fmla="*/ 426 w 1375"/>
                <a:gd name="T29" fmla="*/ 301 h 371"/>
                <a:gd name="T30" fmla="*/ 405 w 1375"/>
                <a:gd name="T31" fmla="*/ 304 h 371"/>
                <a:gd name="T32" fmla="*/ 430 w 1375"/>
                <a:gd name="T33" fmla="*/ 368 h 371"/>
                <a:gd name="T34" fmla="*/ 453 w 1375"/>
                <a:gd name="T35" fmla="*/ 364 h 371"/>
                <a:gd name="T36" fmla="*/ 475 w 1375"/>
                <a:gd name="T37" fmla="*/ 357 h 371"/>
                <a:gd name="T38" fmla="*/ 495 w 1375"/>
                <a:gd name="T39" fmla="*/ 348 h 371"/>
                <a:gd name="T40" fmla="*/ 513 w 1375"/>
                <a:gd name="T41" fmla="*/ 336 h 371"/>
                <a:gd name="T42" fmla="*/ 528 w 1375"/>
                <a:gd name="T43" fmla="*/ 322 h 371"/>
                <a:gd name="T44" fmla="*/ 541 w 1375"/>
                <a:gd name="T45" fmla="*/ 305 h 371"/>
                <a:gd name="T46" fmla="*/ 551 w 1375"/>
                <a:gd name="T47" fmla="*/ 286 h 371"/>
                <a:gd name="T48" fmla="*/ 558 w 1375"/>
                <a:gd name="T49" fmla="*/ 265 h 371"/>
                <a:gd name="T50" fmla="*/ 562 w 1375"/>
                <a:gd name="T51" fmla="*/ 242 h 371"/>
                <a:gd name="T52" fmla="*/ 562 w 1375"/>
                <a:gd name="T53" fmla="*/ 228 h 371"/>
                <a:gd name="T54" fmla="*/ 560 w 1375"/>
                <a:gd name="T55" fmla="*/ 204 h 371"/>
                <a:gd name="T56" fmla="*/ 555 w 1375"/>
                <a:gd name="T57" fmla="*/ 182 h 371"/>
                <a:gd name="T58" fmla="*/ 547 w 1375"/>
                <a:gd name="T59" fmla="*/ 161 h 371"/>
                <a:gd name="T60" fmla="*/ 536 w 1375"/>
                <a:gd name="T61" fmla="*/ 143 h 371"/>
                <a:gd name="T62" fmla="*/ 522 w 1375"/>
                <a:gd name="T63" fmla="*/ 128 h 371"/>
                <a:gd name="T64" fmla="*/ 505 w 1375"/>
                <a:gd name="T65" fmla="*/ 115 h 371"/>
                <a:gd name="T66" fmla="*/ 487 w 1375"/>
                <a:gd name="T67" fmla="*/ 104 h 371"/>
                <a:gd name="T68" fmla="*/ 466 w 1375"/>
                <a:gd name="T69" fmla="*/ 96 h 371"/>
                <a:gd name="T70" fmla="*/ 443 w 1375"/>
                <a:gd name="T71" fmla="*/ 90 h 371"/>
                <a:gd name="T72" fmla="*/ 419 w 1375"/>
                <a:gd name="T73" fmla="*/ 87 h 371"/>
                <a:gd name="T74" fmla="*/ 405 w 1375"/>
                <a:gd name="T75" fmla="*/ 87 h 371"/>
                <a:gd name="T76" fmla="*/ 380 w 1375"/>
                <a:gd name="T77" fmla="*/ 88 h 371"/>
                <a:gd name="T78" fmla="*/ 357 w 1375"/>
                <a:gd name="T79" fmla="*/ 92 h 371"/>
                <a:gd name="T80" fmla="*/ 335 w 1375"/>
                <a:gd name="T81" fmla="*/ 99 h 371"/>
                <a:gd name="T82" fmla="*/ 316 w 1375"/>
                <a:gd name="T83" fmla="*/ 108 h 371"/>
                <a:gd name="T84" fmla="*/ 298 w 1375"/>
                <a:gd name="T85" fmla="*/ 120 h 371"/>
                <a:gd name="T86" fmla="*/ 282 w 1375"/>
                <a:gd name="T87" fmla="*/ 134 h 371"/>
                <a:gd name="T88" fmla="*/ 270 w 1375"/>
                <a:gd name="T89" fmla="*/ 151 h 371"/>
                <a:gd name="T90" fmla="*/ 259 w 1375"/>
                <a:gd name="T91" fmla="*/ 170 h 371"/>
                <a:gd name="T92" fmla="*/ 252 w 1375"/>
                <a:gd name="T93" fmla="*/ 191 h 371"/>
                <a:gd name="T94" fmla="*/ 249 w 1375"/>
                <a:gd name="T95" fmla="*/ 214 h 371"/>
                <a:gd name="T96" fmla="*/ 248 w 1375"/>
                <a:gd name="T97" fmla="*/ 228 h 371"/>
                <a:gd name="T98" fmla="*/ 250 w 1375"/>
                <a:gd name="T99" fmla="*/ 253 h 371"/>
                <a:gd name="T100" fmla="*/ 255 w 1375"/>
                <a:gd name="T101" fmla="*/ 275 h 371"/>
                <a:gd name="T102" fmla="*/ 263 w 1375"/>
                <a:gd name="T103" fmla="*/ 295 h 371"/>
                <a:gd name="T104" fmla="*/ 275 w 1375"/>
                <a:gd name="T105" fmla="*/ 313 h 371"/>
                <a:gd name="T106" fmla="*/ 289 w 1375"/>
                <a:gd name="T107" fmla="*/ 328 h 371"/>
                <a:gd name="T108" fmla="*/ 305 w 1375"/>
                <a:gd name="T109" fmla="*/ 342 h 371"/>
                <a:gd name="T110" fmla="*/ 324 w 1375"/>
                <a:gd name="T111" fmla="*/ 352 h 371"/>
                <a:gd name="T112" fmla="*/ 345 w 1375"/>
                <a:gd name="T113" fmla="*/ 360 h 371"/>
                <a:gd name="T114" fmla="*/ 367 w 1375"/>
                <a:gd name="T115" fmla="*/ 366 h 371"/>
                <a:gd name="T116" fmla="*/ 364 w 1375"/>
                <a:gd name="T117" fmla="*/ 288 h 371"/>
                <a:gd name="T118" fmla="*/ 353 w 1375"/>
                <a:gd name="T119" fmla="*/ 270 h 371"/>
                <a:gd name="T120" fmla="*/ 346 w 1375"/>
                <a:gd name="T121" fmla="*/ 249 h 371"/>
                <a:gd name="T122" fmla="*/ 344 w 1375"/>
                <a:gd name="T123" fmla="*/ 228 h 371"/>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1375"/>
                <a:gd name="T187" fmla="*/ 0 h 371"/>
                <a:gd name="T188" fmla="*/ 1375 w 1375"/>
                <a:gd name="T189" fmla="*/ 371 h 371"/>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1375" h="371">
                  <a:moveTo>
                    <a:pt x="344" y="228"/>
                  </a:moveTo>
                  <a:lnTo>
                    <a:pt x="347" y="204"/>
                  </a:lnTo>
                  <a:lnTo>
                    <a:pt x="354" y="183"/>
                  </a:lnTo>
                  <a:lnTo>
                    <a:pt x="366" y="166"/>
                  </a:lnTo>
                  <a:lnTo>
                    <a:pt x="384" y="155"/>
                  </a:lnTo>
                  <a:lnTo>
                    <a:pt x="405" y="152"/>
                  </a:lnTo>
                  <a:lnTo>
                    <a:pt x="429" y="156"/>
                  </a:lnTo>
                  <a:lnTo>
                    <a:pt x="446" y="168"/>
                  </a:lnTo>
                  <a:lnTo>
                    <a:pt x="458" y="185"/>
                  </a:lnTo>
                  <a:lnTo>
                    <a:pt x="464" y="207"/>
                  </a:lnTo>
                  <a:lnTo>
                    <a:pt x="466" y="228"/>
                  </a:lnTo>
                  <a:lnTo>
                    <a:pt x="464" y="252"/>
                  </a:lnTo>
                  <a:lnTo>
                    <a:pt x="456" y="273"/>
                  </a:lnTo>
                  <a:lnTo>
                    <a:pt x="444" y="290"/>
                  </a:lnTo>
                  <a:lnTo>
                    <a:pt x="426" y="301"/>
                  </a:lnTo>
                  <a:lnTo>
                    <a:pt x="405" y="304"/>
                  </a:lnTo>
                  <a:lnTo>
                    <a:pt x="430" y="368"/>
                  </a:lnTo>
                  <a:lnTo>
                    <a:pt x="453" y="364"/>
                  </a:lnTo>
                  <a:lnTo>
                    <a:pt x="475" y="357"/>
                  </a:lnTo>
                  <a:lnTo>
                    <a:pt x="495" y="348"/>
                  </a:lnTo>
                  <a:lnTo>
                    <a:pt x="513" y="336"/>
                  </a:lnTo>
                  <a:lnTo>
                    <a:pt x="528" y="322"/>
                  </a:lnTo>
                  <a:lnTo>
                    <a:pt x="541" y="305"/>
                  </a:lnTo>
                  <a:lnTo>
                    <a:pt x="551" y="286"/>
                  </a:lnTo>
                  <a:lnTo>
                    <a:pt x="558" y="265"/>
                  </a:lnTo>
                  <a:lnTo>
                    <a:pt x="562" y="242"/>
                  </a:lnTo>
                  <a:lnTo>
                    <a:pt x="562" y="228"/>
                  </a:lnTo>
                  <a:lnTo>
                    <a:pt x="560" y="204"/>
                  </a:lnTo>
                  <a:lnTo>
                    <a:pt x="555" y="182"/>
                  </a:lnTo>
                  <a:lnTo>
                    <a:pt x="547" y="161"/>
                  </a:lnTo>
                  <a:lnTo>
                    <a:pt x="536" y="143"/>
                  </a:lnTo>
                  <a:lnTo>
                    <a:pt x="522" y="128"/>
                  </a:lnTo>
                  <a:lnTo>
                    <a:pt x="505" y="115"/>
                  </a:lnTo>
                  <a:lnTo>
                    <a:pt x="487" y="104"/>
                  </a:lnTo>
                  <a:lnTo>
                    <a:pt x="466" y="96"/>
                  </a:lnTo>
                  <a:lnTo>
                    <a:pt x="443" y="90"/>
                  </a:lnTo>
                  <a:lnTo>
                    <a:pt x="419" y="87"/>
                  </a:lnTo>
                  <a:lnTo>
                    <a:pt x="405" y="87"/>
                  </a:lnTo>
                  <a:lnTo>
                    <a:pt x="380" y="88"/>
                  </a:lnTo>
                  <a:lnTo>
                    <a:pt x="357" y="92"/>
                  </a:lnTo>
                  <a:lnTo>
                    <a:pt x="335" y="99"/>
                  </a:lnTo>
                  <a:lnTo>
                    <a:pt x="316" y="108"/>
                  </a:lnTo>
                  <a:lnTo>
                    <a:pt x="298" y="120"/>
                  </a:lnTo>
                  <a:lnTo>
                    <a:pt x="282" y="134"/>
                  </a:lnTo>
                  <a:lnTo>
                    <a:pt x="270" y="151"/>
                  </a:lnTo>
                  <a:lnTo>
                    <a:pt x="259" y="170"/>
                  </a:lnTo>
                  <a:lnTo>
                    <a:pt x="252" y="191"/>
                  </a:lnTo>
                  <a:lnTo>
                    <a:pt x="249" y="214"/>
                  </a:lnTo>
                  <a:lnTo>
                    <a:pt x="248" y="228"/>
                  </a:lnTo>
                  <a:lnTo>
                    <a:pt x="250" y="253"/>
                  </a:lnTo>
                  <a:lnTo>
                    <a:pt x="255" y="275"/>
                  </a:lnTo>
                  <a:lnTo>
                    <a:pt x="263" y="295"/>
                  </a:lnTo>
                  <a:lnTo>
                    <a:pt x="275" y="313"/>
                  </a:lnTo>
                  <a:lnTo>
                    <a:pt x="289" y="328"/>
                  </a:lnTo>
                  <a:lnTo>
                    <a:pt x="305" y="342"/>
                  </a:lnTo>
                  <a:lnTo>
                    <a:pt x="324" y="352"/>
                  </a:lnTo>
                  <a:lnTo>
                    <a:pt x="345" y="360"/>
                  </a:lnTo>
                  <a:lnTo>
                    <a:pt x="367" y="366"/>
                  </a:lnTo>
                  <a:lnTo>
                    <a:pt x="364" y="288"/>
                  </a:lnTo>
                  <a:lnTo>
                    <a:pt x="353" y="270"/>
                  </a:lnTo>
                  <a:lnTo>
                    <a:pt x="346" y="249"/>
                  </a:lnTo>
                  <a:lnTo>
                    <a:pt x="344" y="228"/>
                  </a:lnTo>
                  <a:close/>
                </a:path>
              </a:pathLst>
            </a:custGeom>
            <a:solidFill>
              <a:srgbClr val="363435"/>
            </a:solidFill>
            <a:ln>
              <a:noFill/>
            </a:ln>
            <a:extLst>
              <a:ext uri="{91240B29-F687-4F45-9708-019B960494DF}">
                <a14:hiddenLine xmlns="" xmlns:a14="http://schemas.microsoft.com/office/drawing/2010/main" w="9525">
                  <a:solidFill>
                    <a:srgbClr val="000000"/>
                  </a:solidFill>
                  <a:round/>
                  <a:headEnd/>
                  <a:tailEnd/>
                </a14:hiddenLine>
              </a:ext>
            </a:extLst>
          </xdr:spPr>
        </xdr:sp>
      </xdr:grpSp>
    </xdr:grpSp>
    <xdr:clientData/>
  </xdr:twoCellAnchor>
  <xdr:twoCellAnchor editAs="oneCell">
    <xdr:from>
      <xdr:col>1</xdr:col>
      <xdr:colOff>28575</xdr:colOff>
      <xdr:row>0</xdr:row>
      <xdr:rowOff>114300</xdr:rowOff>
    </xdr:from>
    <xdr:to>
      <xdr:col>12</xdr:col>
      <xdr:colOff>66675</xdr:colOff>
      <xdr:row>4</xdr:row>
      <xdr:rowOff>28575</xdr:rowOff>
    </xdr:to>
    <xdr:pic>
      <xdr:nvPicPr>
        <xdr:cNvPr id="634172" name="Picture 59">
          <a:extLst>
            <a:ext uri="{FF2B5EF4-FFF2-40B4-BE49-F238E27FC236}">
              <a16:creationId xmlns="" xmlns:a16="http://schemas.microsoft.com/office/drawing/2014/main" id="{527E2408-11EF-6BFE-AFCE-7B36B15F48FD}"/>
            </a:ext>
          </a:extLst>
        </xdr:cNvPr>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209550" y="114300"/>
          <a:ext cx="2028825" cy="6762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123825</xdr:colOff>
      <xdr:row>40</xdr:row>
      <xdr:rowOff>114300</xdr:rowOff>
    </xdr:from>
    <xdr:to>
      <xdr:col>12</xdr:col>
      <xdr:colOff>161925</xdr:colOff>
      <xdr:row>44</xdr:row>
      <xdr:rowOff>28575</xdr:rowOff>
    </xdr:to>
    <xdr:pic>
      <xdr:nvPicPr>
        <xdr:cNvPr id="634173" name="Picture 61">
          <a:extLst>
            <a:ext uri="{FF2B5EF4-FFF2-40B4-BE49-F238E27FC236}">
              <a16:creationId xmlns="" xmlns:a16="http://schemas.microsoft.com/office/drawing/2014/main" id="{B3D414DF-B7C9-9BB9-274B-E88CF8F081EA}"/>
            </a:ext>
          </a:extLst>
        </xdr:cNvPr>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304800" y="10629900"/>
          <a:ext cx="2028825" cy="6762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85725</xdr:rowOff>
    </xdr:from>
    <xdr:to>
      <xdr:col>6</xdr:col>
      <xdr:colOff>152400</xdr:colOff>
      <xdr:row>2</xdr:row>
      <xdr:rowOff>171450</xdr:rowOff>
    </xdr:to>
    <xdr:pic>
      <xdr:nvPicPr>
        <xdr:cNvPr id="396336" name="Picture 1">
          <a:extLst>
            <a:ext uri="{FF2B5EF4-FFF2-40B4-BE49-F238E27FC236}">
              <a16:creationId xmlns="" xmlns:a16="http://schemas.microsoft.com/office/drawing/2014/main" id="{7EAFB6AA-9C9A-2281-ABD9-7EB9EC14C4C6}"/>
            </a:ext>
          </a:extLst>
        </xdr:cNvPr>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9525" y="85725"/>
          <a:ext cx="1628775" cy="54292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36</xdr:col>
      <xdr:colOff>0</xdr:colOff>
      <xdr:row>97</xdr:row>
      <xdr:rowOff>28575</xdr:rowOff>
    </xdr:from>
    <xdr:to>
      <xdr:col>255</xdr:col>
      <xdr:colOff>0</xdr:colOff>
      <xdr:row>98</xdr:row>
      <xdr:rowOff>0</xdr:rowOff>
    </xdr:to>
    <xdr:sp macro="" textlink="">
      <xdr:nvSpPr>
        <xdr:cNvPr id="624503" name="Rectangle 1">
          <a:extLst>
            <a:ext uri="{FF2B5EF4-FFF2-40B4-BE49-F238E27FC236}">
              <a16:creationId xmlns="" xmlns:a16="http://schemas.microsoft.com/office/drawing/2014/main" id="{BE39BDD2-3CA8-08A2-4295-4ACEDAC92CA7}"/>
            </a:ext>
          </a:extLst>
        </xdr:cNvPr>
        <xdr:cNvSpPr>
          <a:spLocks noChangeArrowheads="1"/>
        </xdr:cNvSpPr>
      </xdr:nvSpPr>
      <xdr:spPr bwMode="auto">
        <a:xfrm>
          <a:off x="6515100" y="20812125"/>
          <a:ext cx="0" cy="16192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sp>
    <xdr:clientData/>
  </xdr:twoCellAnchor>
  <xdr:twoCellAnchor editAs="oneCell">
    <xdr:from>
      <xdr:col>1</xdr:col>
      <xdr:colOff>76200</xdr:colOff>
      <xdr:row>0</xdr:row>
      <xdr:rowOff>171450</xdr:rowOff>
    </xdr:from>
    <xdr:to>
      <xdr:col>12</xdr:col>
      <xdr:colOff>114300</xdr:colOff>
      <xdr:row>4</xdr:row>
      <xdr:rowOff>85725</xdr:rowOff>
    </xdr:to>
    <xdr:pic>
      <xdr:nvPicPr>
        <xdr:cNvPr id="624504" name="Picture 43">
          <a:extLst>
            <a:ext uri="{FF2B5EF4-FFF2-40B4-BE49-F238E27FC236}">
              <a16:creationId xmlns="" xmlns:a16="http://schemas.microsoft.com/office/drawing/2014/main" id="{2C97A266-CA02-BFF9-38B9-7905A32BB5C5}"/>
            </a:ext>
          </a:extLst>
        </xdr:cNvPr>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257175" y="171450"/>
          <a:ext cx="2028825" cy="6762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46</xdr:row>
      <xdr:rowOff>47625</xdr:rowOff>
    </xdr:from>
    <xdr:to>
      <xdr:col>12</xdr:col>
      <xdr:colOff>114300</xdr:colOff>
      <xdr:row>49</xdr:row>
      <xdr:rowOff>152400</xdr:rowOff>
    </xdr:to>
    <xdr:pic>
      <xdr:nvPicPr>
        <xdr:cNvPr id="624505" name="Picture 44">
          <a:extLst>
            <a:ext uri="{FF2B5EF4-FFF2-40B4-BE49-F238E27FC236}">
              <a16:creationId xmlns="" xmlns:a16="http://schemas.microsoft.com/office/drawing/2014/main" id="{974F2ECA-F817-642E-F1BC-BDD05607CDD3}"/>
            </a:ext>
          </a:extLst>
        </xdr:cNvPr>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257175" y="10487025"/>
          <a:ext cx="2028825" cy="6762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57150</xdr:colOff>
      <xdr:row>1</xdr:row>
      <xdr:rowOff>19050</xdr:rowOff>
    </xdr:from>
    <xdr:to>
      <xdr:col>11</xdr:col>
      <xdr:colOff>276225</xdr:colOff>
      <xdr:row>4</xdr:row>
      <xdr:rowOff>123825</xdr:rowOff>
    </xdr:to>
    <xdr:pic>
      <xdr:nvPicPr>
        <xdr:cNvPr id="621170" name="Picture 20">
          <a:extLst>
            <a:ext uri="{FF2B5EF4-FFF2-40B4-BE49-F238E27FC236}">
              <a16:creationId xmlns="" xmlns:a16="http://schemas.microsoft.com/office/drawing/2014/main" id="{4F4CD5AB-11C2-B081-1B58-F214C2FFC26B}"/>
            </a:ext>
          </a:extLst>
        </xdr:cNvPr>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238125" y="209550"/>
          <a:ext cx="2028825" cy="6762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36</xdr:col>
      <xdr:colOff>0</xdr:colOff>
      <xdr:row>28</xdr:row>
      <xdr:rowOff>28575</xdr:rowOff>
    </xdr:from>
    <xdr:to>
      <xdr:col>255</xdr:col>
      <xdr:colOff>0</xdr:colOff>
      <xdr:row>29</xdr:row>
      <xdr:rowOff>0</xdr:rowOff>
    </xdr:to>
    <xdr:sp macro="" textlink="">
      <xdr:nvSpPr>
        <xdr:cNvPr id="625229" name="Rectangle 1">
          <a:extLst>
            <a:ext uri="{FF2B5EF4-FFF2-40B4-BE49-F238E27FC236}">
              <a16:creationId xmlns="" xmlns:a16="http://schemas.microsoft.com/office/drawing/2014/main" id="{4FCA138B-55A5-5F69-10A6-E4062EF47F45}"/>
            </a:ext>
          </a:extLst>
        </xdr:cNvPr>
        <xdr:cNvSpPr>
          <a:spLocks noChangeArrowheads="1"/>
        </xdr:cNvSpPr>
      </xdr:nvSpPr>
      <xdr:spPr bwMode="auto">
        <a:xfrm>
          <a:off x="6515100" y="5505450"/>
          <a:ext cx="0" cy="16192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sp>
    <xdr:clientData/>
  </xdr:twoCellAnchor>
  <xdr:twoCellAnchor>
    <xdr:from>
      <xdr:col>23</xdr:col>
      <xdr:colOff>66675</xdr:colOff>
      <xdr:row>9</xdr:row>
      <xdr:rowOff>0</xdr:rowOff>
    </xdr:from>
    <xdr:to>
      <xdr:col>31</xdr:col>
      <xdr:colOff>142875</xdr:colOff>
      <xdr:row>16</xdr:row>
      <xdr:rowOff>123825</xdr:rowOff>
    </xdr:to>
    <xdr:grpSp>
      <xdr:nvGrpSpPr>
        <xdr:cNvPr id="625230" name="Group 20">
          <a:extLst>
            <a:ext uri="{FF2B5EF4-FFF2-40B4-BE49-F238E27FC236}">
              <a16:creationId xmlns="" xmlns:a16="http://schemas.microsoft.com/office/drawing/2014/main" id="{A7890736-C883-1AB0-0417-857E91D15F0B}"/>
            </a:ext>
          </a:extLst>
        </xdr:cNvPr>
        <xdr:cNvGrpSpPr>
          <a:grpSpLocks/>
        </xdr:cNvGrpSpPr>
      </xdr:nvGrpSpPr>
      <xdr:grpSpPr bwMode="auto">
        <a:xfrm>
          <a:off x="4229100" y="1847850"/>
          <a:ext cx="1524000" cy="1457325"/>
          <a:chOff x="8886" y="865"/>
          <a:chExt cx="2278" cy="2788"/>
        </a:xfrm>
      </xdr:grpSpPr>
      <xdr:sp macro="" textlink="">
        <xdr:nvSpPr>
          <xdr:cNvPr id="625232" name="Rectangle 21">
            <a:extLst>
              <a:ext uri="{FF2B5EF4-FFF2-40B4-BE49-F238E27FC236}">
                <a16:creationId xmlns="" xmlns:a16="http://schemas.microsoft.com/office/drawing/2014/main" id="{27E4AC7F-EF6D-D49C-38DC-CEC759E7DBC7}"/>
              </a:ext>
            </a:extLst>
          </xdr:cNvPr>
          <xdr:cNvSpPr>
            <a:spLocks/>
          </xdr:cNvSpPr>
        </xdr:nvSpPr>
        <xdr:spPr bwMode="auto">
          <a:xfrm>
            <a:off x="8891" y="870"/>
            <a:ext cx="2267" cy="2778"/>
          </a:xfrm>
          <a:prstGeom prst="rect">
            <a:avLst/>
          </a:prstGeom>
          <a:noFill/>
          <a:ln w="6346">
            <a:solidFill>
              <a:srgbClr val="363435"/>
            </a:solidFill>
            <a:miter lim="800000"/>
            <a:headEnd/>
            <a:tailEnd/>
          </a:ln>
          <a:extLst>
            <a:ext uri="{909E8E84-426E-40DD-AFC4-6F175D3DCCD1}">
              <a14:hiddenFill xmlns="" xmlns:a14="http://schemas.microsoft.com/office/drawing/2010/main">
                <a:solidFill>
                  <a:srgbClr val="FFFFFF"/>
                </a:solidFill>
              </a14:hiddenFill>
            </a:ext>
          </a:extLst>
        </xdr:spPr>
      </xdr:sp>
      <xdr:sp macro="" textlink="">
        <xdr:nvSpPr>
          <xdr:cNvPr id="241" name="Rectangle 22">
            <a:extLst>
              <a:ext uri="{FF2B5EF4-FFF2-40B4-BE49-F238E27FC236}">
                <a16:creationId xmlns="" xmlns:a16="http://schemas.microsoft.com/office/drawing/2014/main" id="{4BBDB327-C4CD-EE60-196E-71E5E52CED23}"/>
              </a:ext>
            </a:extLst>
          </xdr:cNvPr>
          <xdr:cNvSpPr>
            <a:spLocks noChangeArrowheads="1"/>
          </xdr:cNvSpPr>
        </xdr:nvSpPr>
        <xdr:spPr bwMode="auto">
          <a:xfrm>
            <a:off x="9213" y="1922"/>
            <a:ext cx="1652" cy="656"/>
          </a:xfrm>
          <a:prstGeom prst="rect">
            <a:avLst/>
          </a:prstGeom>
          <a:noFill/>
          <a:ln>
            <a:noFill/>
          </a:ln>
        </xdr:spPr>
        <xdr:txBody>
          <a:bodyPr vertOverflow="clip" wrap="square" lIns="0" tIns="0" rIns="0" bIns="0" anchor="t" upright="1"/>
          <a:lstStyle/>
          <a:p>
            <a:pPr algn="l" rtl="0">
              <a:defRPr sz="1000"/>
            </a:pPr>
            <a:endParaRPr lang="en-US" sz="1200" b="0" i="0" u="none" strike="noStrike" baseline="0">
              <a:solidFill>
                <a:srgbClr val="000000"/>
              </a:solidFill>
              <a:latin typeface="Times New Roman"/>
              <a:cs typeface="Times New Roman"/>
            </a:endParaRPr>
          </a:p>
          <a:p>
            <a:pPr algn="l" rtl="0">
              <a:defRPr sz="1000"/>
            </a:pPr>
            <a:endParaRPr lang="en-US" sz="1200" b="0" i="0" u="none" strike="noStrike" baseline="0">
              <a:solidFill>
                <a:srgbClr val="000000"/>
              </a:solidFill>
              <a:latin typeface="Times New Roman"/>
              <a:cs typeface="Times New Roman"/>
            </a:endParaRPr>
          </a:p>
          <a:p>
            <a:pPr algn="l" rtl="0">
              <a:defRPr sz="1000"/>
            </a:pPr>
            <a:endParaRPr lang="en-US" sz="1200" b="0" i="0" u="none" strike="noStrike" baseline="0">
              <a:solidFill>
                <a:srgbClr val="000000"/>
              </a:solidFill>
              <a:latin typeface="Times New Roman"/>
              <a:cs typeface="Times New Roman"/>
            </a:endParaRPr>
          </a:p>
        </xdr:txBody>
      </xdr:sp>
    </xdr:grpSp>
    <xdr:clientData/>
  </xdr:twoCellAnchor>
  <xdr:twoCellAnchor editAs="oneCell">
    <xdr:from>
      <xdr:col>1</xdr:col>
      <xdr:colOff>133350</xdr:colOff>
      <xdr:row>1</xdr:row>
      <xdr:rowOff>0</xdr:rowOff>
    </xdr:from>
    <xdr:to>
      <xdr:col>12</xdr:col>
      <xdr:colOff>171450</xdr:colOff>
      <xdr:row>4</xdr:row>
      <xdr:rowOff>104775</xdr:rowOff>
    </xdr:to>
    <xdr:pic>
      <xdr:nvPicPr>
        <xdr:cNvPr id="625231" name="Picture 24">
          <a:extLst>
            <a:ext uri="{FF2B5EF4-FFF2-40B4-BE49-F238E27FC236}">
              <a16:creationId xmlns="" xmlns:a16="http://schemas.microsoft.com/office/drawing/2014/main" id="{F3F22206-2169-900F-BC60-6FAD8ECC5F4E}"/>
            </a:ext>
          </a:extLst>
        </xdr:cNvPr>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314325" y="190500"/>
          <a:ext cx="2028825" cy="6762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123825</xdr:colOff>
      <xdr:row>0</xdr:row>
      <xdr:rowOff>0</xdr:rowOff>
    </xdr:from>
    <xdr:to>
      <xdr:col>38</xdr:col>
      <xdr:colOff>0</xdr:colOff>
      <xdr:row>3</xdr:row>
      <xdr:rowOff>28575</xdr:rowOff>
    </xdr:to>
    <xdr:sp macro="" textlink="">
      <xdr:nvSpPr>
        <xdr:cNvPr id="628818" name="Rectangle 1">
          <a:extLst>
            <a:ext uri="{FF2B5EF4-FFF2-40B4-BE49-F238E27FC236}">
              <a16:creationId xmlns="" xmlns:a16="http://schemas.microsoft.com/office/drawing/2014/main" id="{72B24CA9-1D9C-8AD2-32A9-93E8DE6B3121}"/>
            </a:ext>
          </a:extLst>
        </xdr:cNvPr>
        <xdr:cNvSpPr>
          <a:spLocks noChangeArrowheads="1"/>
        </xdr:cNvSpPr>
      </xdr:nvSpPr>
      <xdr:spPr bwMode="auto">
        <a:xfrm>
          <a:off x="6515100" y="0"/>
          <a:ext cx="0" cy="6000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sp>
    <xdr:clientData/>
  </xdr:twoCellAnchor>
  <xdr:twoCellAnchor editAs="oneCell">
    <xdr:from>
      <xdr:col>1</xdr:col>
      <xdr:colOff>95250</xdr:colOff>
      <xdr:row>1</xdr:row>
      <xdr:rowOff>9525</xdr:rowOff>
    </xdr:from>
    <xdr:to>
      <xdr:col>12</xdr:col>
      <xdr:colOff>133350</xdr:colOff>
      <xdr:row>4</xdr:row>
      <xdr:rowOff>114300</xdr:rowOff>
    </xdr:to>
    <xdr:pic>
      <xdr:nvPicPr>
        <xdr:cNvPr id="628819" name="Picture 21">
          <a:extLst>
            <a:ext uri="{FF2B5EF4-FFF2-40B4-BE49-F238E27FC236}">
              <a16:creationId xmlns="" xmlns:a16="http://schemas.microsoft.com/office/drawing/2014/main" id="{1AD1B5E6-124F-0E07-8E25-A9BC11E7D888}"/>
            </a:ext>
          </a:extLst>
        </xdr:cNvPr>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276225" y="200025"/>
          <a:ext cx="2028825" cy="6762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38</xdr:col>
      <xdr:colOff>0</xdr:colOff>
      <xdr:row>3</xdr:row>
      <xdr:rowOff>28575</xdr:rowOff>
    </xdr:to>
    <xdr:sp macro="" textlink="">
      <xdr:nvSpPr>
        <xdr:cNvPr id="629860" name="Rectangle 1">
          <a:extLst>
            <a:ext uri="{FF2B5EF4-FFF2-40B4-BE49-F238E27FC236}">
              <a16:creationId xmlns="" xmlns:a16="http://schemas.microsoft.com/office/drawing/2014/main" id="{B61DC90C-751B-6A1A-03C9-D14B2AC14D74}"/>
            </a:ext>
          </a:extLst>
        </xdr:cNvPr>
        <xdr:cNvSpPr>
          <a:spLocks noChangeArrowheads="1"/>
        </xdr:cNvSpPr>
      </xdr:nvSpPr>
      <xdr:spPr bwMode="auto">
        <a:xfrm>
          <a:off x="6515100" y="0"/>
          <a:ext cx="0" cy="6000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sp>
    <xdr:clientData/>
  </xdr:twoCellAnchor>
  <xdr:twoCellAnchor editAs="oneCell">
    <xdr:from>
      <xdr:col>1</xdr:col>
      <xdr:colOff>95250</xdr:colOff>
      <xdr:row>1</xdr:row>
      <xdr:rowOff>0</xdr:rowOff>
    </xdr:from>
    <xdr:to>
      <xdr:col>12</xdr:col>
      <xdr:colOff>133350</xdr:colOff>
      <xdr:row>4</xdr:row>
      <xdr:rowOff>104775</xdr:rowOff>
    </xdr:to>
    <xdr:pic>
      <xdr:nvPicPr>
        <xdr:cNvPr id="629861" name="Picture 21">
          <a:extLst>
            <a:ext uri="{FF2B5EF4-FFF2-40B4-BE49-F238E27FC236}">
              <a16:creationId xmlns="" xmlns:a16="http://schemas.microsoft.com/office/drawing/2014/main" id="{0BBC1006-4416-08B2-50A9-F1B4FA25D71B}"/>
            </a:ext>
          </a:extLst>
        </xdr:cNvPr>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276225" y="190500"/>
          <a:ext cx="2028825" cy="6762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19050</xdr:colOff>
      <xdr:row>0</xdr:row>
      <xdr:rowOff>57150</xdr:rowOff>
    </xdr:from>
    <xdr:to>
      <xdr:col>13</xdr:col>
      <xdr:colOff>57150</xdr:colOff>
      <xdr:row>3</xdr:row>
      <xdr:rowOff>161925</xdr:rowOff>
    </xdr:to>
    <xdr:pic>
      <xdr:nvPicPr>
        <xdr:cNvPr id="626059" name="Picture 20">
          <a:extLst>
            <a:ext uri="{FF2B5EF4-FFF2-40B4-BE49-F238E27FC236}">
              <a16:creationId xmlns="" xmlns:a16="http://schemas.microsoft.com/office/drawing/2014/main" id="{F60BABE7-9BD1-DC1D-4271-D8FE08F51755}"/>
            </a:ext>
          </a:extLst>
        </xdr:cNvPr>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381000" y="57150"/>
          <a:ext cx="2028825" cy="67627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209550</xdr:colOff>
      <xdr:row>0</xdr:row>
      <xdr:rowOff>76200</xdr:rowOff>
    </xdr:from>
    <xdr:to>
      <xdr:col>9</xdr:col>
      <xdr:colOff>95250</xdr:colOff>
      <xdr:row>3</xdr:row>
      <xdr:rowOff>85725</xdr:rowOff>
    </xdr:to>
    <xdr:pic>
      <xdr:nvPicPr>
        <xdr:cNvPr id="459812" name="Picture 1">
          <a:extLst>
            <a:ext uri="{FF2B5EF4-FFF2-40B4-BE49-F238E27FC236}">
              <a16:creationId xmlns="" xmlns:a16="http://schemas.microsoft.com/office/drawing/2014/main" id="{53CD58DD-6E89-7DC5-D2F6-37D7DF0D382A}"/>
            </a:ext>
          </a:extLst>
        </xdr:cNvPr>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209550" y="76200"/>
          <a:ext cx="1743075" cy="58102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57150</xdr:colOff>
      <xdr:row>0</xdr:row>
      <xdr:rowOff>133350</xdr:rowOff>
    </xdr:from>
    <xdr:to>
      <xdr:col>8</xdr:col>
      <xdr:colOff>57150</xdr:colOff>
      <xdr:row>3</xdr:row>
      <xdr:rowOff>142875</xdr:rowOff>
    </xdr:to>
    <xdr:pic>
      <xdr:nvPicPr>
        <xdr:cNvPr id="631836" name="Picture 21">
          <a:extLst>
            <a:ext uri="{FF2B5EF4-FFF2-40B4-BE49-F238E27FC236}">
              <a16:creationId xmlns="" xmlns:a16="http://schemas.microsoft.com/office/drawing/2014/main" id="{24D21DF1-D1E3-518D-3688-1DC8A577A0E1}"/>
            </a:ext>
          </a:extLst>
        </xdr:cNvPr>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304800" y="133350"/>
          <a:ext cx="1733550" cy="58102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16"/>
  <dimension ref="C1:AC58"/>
  <sheetViews>
    <sheetView showGridLines="0" showRowColHeaders="0" workbookViewId="0">
      <selection activeCell="C1" sqref="C1"/>
    </sheetView>
  </sheetViews>
  <sheetFormatPr defaultColWidth="0" defaultRowHeight="15" customHeight="1" zeroHeight="1"/>
  <cols>
    <col min="1" max="36" width="2.7109375" style="90" customWidth="1"/>
    <col min="37" max="16384" width="0" style="90" hidden="1"/>
  </cols>
  <sheetData>
    <row r="1" spans="3:29" ht="19.5" customHeight="1">
      <c r="R1" s="89" t="s">
        <v>312</v>
      </c>
    </row>
    <row r="2" spans="3:29" ht="15" customHeight="1"/>
    <row r="3" spans="3:29" s="161" customFormat="1" ht="15" customHeight="1">
      <c r="C3" s="160" t="s">
        <v>303</v>
      </c>
      <c r="D3" s="161" t="s">
        <v>310</v>
      </c>
    </row>
    <row r="4" spans="3:29" s="161" customFormat="1" ht="15" customHeight="1">
      <c r="C4" s="160" t="s">
        <v>304</v>
      </c>
      <c r="D4" s="161" t="s">
        <v>330</v>
      </c>
    </row>
    <row r="5" spans="3:29" s="161" customFormat="1" ht="15" customHeight="1">
      <c r="C5" s="160" t="s">
        <v>305</v>
      </c>
      <c r="D5" s="161" t="s">
        <v>311</v>
      </c>
    </row>
    <row r="6" spans="3:29" s="161" customFormat="1" ht="15" customHeight="1">
      <c r="C6" s="160" t="s">
        <v>306</v>
      </c>
      <c r="D6" s="161" t="s">
        <v>342</v>
      </c>
    </row>
    <row r="7" spans="3:29" s="161" customFormat="1" ht="15" customHeight="1">
      <c r="C7" s="160" t="s">
        <v>309</v>
      </c>
      <c r="D7" s="161" t="s">
        <v>343</v>
      </c>
    </row>
    <row r="8" spans="3:29" s="161" customFormat="1" ht="15" customHeight="1">
      <c r="D8" s="161" t="s">
        <v>344</v>
      </c>
    </row>
    <row r="9" spans="3:29" s="161" customFormat="1" ht="15" customHeight="1">
      <c r="C9" s="160" t="s">
        <v>331</v>
      </c>
      <c r="D9" s="161" t="s">
        <v>338</v>
      </c>
    </row>
    <row r="10" spans="3:29" s="161" customFormat="1" ht="15" customHeight="1">
      <c r="D10" s="161" t="s">
        <v>339</v>
      </c>
    </row>
    <row r="11" spans="3:29" s="161" customFormat="1" ht="15" customHeight="1">
      <c r="C11" s="160" t="s">
        <v>333</v>
      </c>
      <c r="D11" s="161" t="s">
        <v>341</v>
      </c>
      <c r="V11" s="204" t="s">
        <v>334</v>
      </c>
      <c r="W11" s="204"/>
      <c r="X11" s="204"/>
      <c r="Y11" s="161" t="s">
        <v>972</v>
      </c>
    </row>
    <row r="12" spans="3:29" s="161" customFormat="1" ht="15" customHeight="1">
      <c r="C12" s="160" t="s">
        <v>340</v>
      </c>
      <c r="D12" s="161" t="s">
        <v>1026</v>
      </c>
      <c r="V12" s="189"/>
      <c r="W12" s="189"/>
      <c r="X12" s="189"/>
    </row>
    <row r="13" spans="3:29" s="161" customFormat="1" ht="15" customHeight="1">
      <c r="C13" s="160"/>
      <c r="D13" s="161" t="s">
        <v>1027</v>
      </c>
      <c r="V13" s="189"/>
      <c r="W13" s="189"/>
      <c r="X13" s="189"/>
    </row>
    <row r="14" spans="3:29" s="161" customFormat="1" ht="18" hidden="1" customHeight="1">
      <c r="D14" s="188" t="s">
        <v>973</v>
      </c>
    </row>
    <row r="15" spans="3:29" s="161" customFormat="1" ht="24.95" hidden="1" customHeight="1">
      <c r="C15" s="160" t="s">
        <v>340</v>
      </c>
      <c r="D15" s="161" t="s">
        <v>308</v>
      </c>
      <c r="AC15" s="91">
        <v>1</v>
      </c>
    </row>
    <row r="16" spans="3:29" s="161" customFormat="1" ht="15" customHeight="1">
      <c r="C16" s="160" t="s">
        <v>1025</v>
      </c>
      <c r="D16" s="161" t="s">
        <v>1024</v>
      </c>
    </row>
    <row r="17" spans="3:5" s="161" customFormat="1" ht="15" customHeight="1">
      <c r="C17" s="160"/>
      <c r="D17" s="161" t="s">
        <v>999</v>
      </c>
      <c r="E17" s="161" t="s">
        <v>1031</v>
      </c>
    </row>
    <row r="18" spans="3:5" s="161" customFormat="1" ht="15" customHeight="1">
      <c r="C18" s="160"/>
      <c r="D18" s="161" t="s">
        <v>999</v>
      </c>
      <c r="E18" s="161" t="s">
        <v>1030</v>
      </c>
    </row>
    <row r="19" spans="3:5" s="161" customFormat="1" ht="15" customHeight="1">
      <c r="C19" s="160"/>
      <c r="D19" s="161" t="s">
        <v>999</v>
      </c>
      <c r="E19" s="161" t="s">
        <v>1020</v>
      </c>
    </row>
    <row r="20" spans="3:5" s="161" customFormat="1" ht="15" customHeight="1">
      <c r="C20" s="160"/>
      <c r="D20" s="161" t="s">
        <v>999</v>
      </c>
      <c r="E20" s="161" t="s">
        <v>1021</v>
      </c>
    </row>
    <row r="21" spans="3:5" s="161" customFormat="1" ht="15" customHeight="1">
      <c r="C21" s="160"/>
      <c r="D21" s="161" t="s">
        <v>999</v>
      </c>
      <c r="E21" s="161" t="s">
        <v>1023</v>
      </c>
    </row>
    <row r="22" spans="3:5" s="161" customFormat="1" ht="15" customHeight="1">
      <c r="C22" s="160"/>
      <c r="E22" s="161" t="s">
        <v>1022</v>
      </c>
    </row>
    <row r="23" spans="3:5" s="161" customFormat="1" ht="15" customHeight="1">
      <c r="C23" s="160"/>
      <c r="D23" s="161" t="s">
        <v>999</v>
      </c>
      <c r="E23" s="161" t="s">
        <v>1028</v>
      </c>
    </row>
    <row r="24" spans="3:5" s="161" customFormat="1" ht="15" customHeight="1">
      <c r="C24" s="160"/>
      <c r="D24" s="161" t="s">
        <v>999</v>
      </c>
      <c r="E24" s="161" t="s">
        <v>1029</v>
      </c>
    </row>
    <row r="25" spans="3:5" ht="15" customHeight="1">
      <c r="C25" s="160" t="s">
        <v>1035</v>
      </c>
      <c r="D25" s="90" t="s">
        <v>1036</v>
      </c>
    </row>
    <row r="26" spans="3:5" ht="15" customHeight="1">
      <c r="D26" s="90" t="s">
        <v>1037</v>
      </c>
    </row>
    <row r="27" spans="3:5" ht="15" customHeight="1">
      <c r="D27" s="90" t="s">
        <v>1038</v>
      </c>
    </row>
    <row r="28" spans="3:5" ht="15" customHeight="1"/>
    <row r="29" spans="3:5" ht="15" customHeight="1"/>
    <row r="30" spans="3:5" ht="15" customHeight="1"/>
    <row r="31" spans="3:5" ht="15" customHeight="1"/>
    <row r="32" spans="3:5"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spans="22:22" ht="15" customHeight="1">
      <c r="V49" s="58" t="s">
        <v>1039</v>
      </c>
    </row>
    <row r="54" spans="22:22" ht="15" customHeight="1"/>
    <row r="55" spans="22:22" ht="15" customHeight="1"/>
    <row r="56" spans="22:22" ht="15" customHeight="1"/>
    <row r="57" spans="22:22" ht="15" customHeight="1"/>
    <row r="58" spans="22:22" ht="15" customHeight="1"/>
  </sheetData>
  <sheetProtection password="C528" sheet="1" selectLockedCells="1"/>
  <mergeCells count="1">
    <mergeCell ref="V11:X11"/>
  </mergeCells>
  <pageMargins left="0" right="0" top="0" bottom="0" header="0" footer="0"/>
  <pageSetup paperSize="9" orientation="portrait" r:id="rId1"/>
</worksheet>
</file>

<file path=xl/worksheets/sheet2.xml><?xml version="1.0" encoding="utf-8"?>
<worksheet xmlns="http://schemas.openxmlformats.org/spreadsheetml/2006/main" xmlns:r="http://schemas.openxmlformats.org/officeDocument/2006/relationships">
  <sheetPr codeName="Sheet2"/>
  <dimension ref="A1:AU354"/>
  <sheetViews>
    <sheetView showGridLines="0" tabSelected="1" topLeftCell="A56" workbookViewId="0">
      <selection activeCell="C56" sqref="C56:D56"/>
    </sheetView>
  </sheetViews>
  <sheetFormatPr defaultColWidth="0" defaultRowHeight="15" zeroHeight="1"/>
  <cols>
    <col min="1" max="15" width="2.7109375" style="23" customWidth="1"/>
    <col min="16" max="19" width="3.42578125" style="23" customWidth="1"/>
    <col min="20" max="36" width="2.7109375" style="23" customWidth="1"/>
    <col min="37" max="37" width="9.140625" style="23" hidden="1" customWidth="1"/>
    <col min="38" max="38" width="10.28515625" style="23" hidden="1" customWidth="1"/>
    <col min="39" max="39" width="9.140625" style="23" hidden="1" customWidth="1"/>
    <col min="40" max="40" width="33.85546875" style="23" hidden="1" customWidth="1"/>
    <col min="41" max="52" width="9.140625" style="23" hidden="1" customWidth="1"/>
    <col min="53" max="16384" width="9.140625" style="23" hidden="1"/>
  </cols>
  <sheetData>
    <row r="1" spans="1:47">
      <c r="AL1" s="23" t="s">
        <v>132</v>
      </c>
      <c r="AM1" s="23" t="s">
        <v>138</v>
      </c>
      <c r="AN1" s="23" t="s">
        <v>246</v>
      </c>
      <c r="AO1" s="23" t="s">
        <v>9</v>
      </c>
      <c r="AP1" s="23" t="s">
        <v>214</v>
      </c>
    </row>
    <row r="2" spans="1:47" ht="15" customHeight="1">
      <c r="AA2" s="215" t="s">
        <v>1050</v>
      </c>
      <c r="AB2" s="216"/>
      <c r="AC2" s="216"/>
      <c r="AD2" s="216"/>
      <c r="AE2" s="216"/>
      <c r="AF2" s="217"/>
      <c r="AL2" s="26" t="s">
        <v>290</v>
      </c>
      <c r="AM2" s="26" t="s">
        <v>252</v>
      </c>
      <c r="AN2" s="26" t="s">
        <v>1061</v>
      </c>
      <c r="AO2" s="26" t="s">
        <v>262</v>
      </c>
      <c r="AP2" s="26" t="s">
        <v>269</v>
      </c>
      <c r="AQ2" s="26"/>
    </row>
    <row r="3" spans="1:47" ht="20.25" customHeight="1">
      <c r="AA3" s="218"/>
      <c r="AB3" s="219"/>
      <c r="AC3" s="219"/>
      <c r="AD3" s="219"/>
      <c r="AE3" s="219"/>
      <c r="AF3" s="220"/>
      <c r="AL3" s="26" t="s">
        <v>1078</v>
      </c>
      <c r="AM3" s="26" t="s">
        <v>1079</v>
      </c>
      <c r="AN3" s="26" t="s">
        <v>1080</v>
      </c>
      <c r="AO3" s="26" t="s">
        <v>1081</v>
      </c>
      <c r="AP3" s="97" t="s">
        <v>1082</v>
      </c>
      <c r="AQ3" s="106"/>
      <c r="AR3" s="95"/>
      <c r="AS3" s="95"/>
      <c r="AT3" s="95"/>
      <c r="AU3" s="95"/>
    </row>
    <row r="4" spans="1:47" s="106" customFormat="1" ht="20.25" customHeight="1">
      <c r="AA4" s="218"/>
      <c r="AB4" s="219"/>
      <c r="AC4" s="219"/>
      <c r="AD4" s="219"/>
      <c r="AE4" s="219"/>
      <c r="AF4" s="220"/>
      <c r="AL4" s="26" t="s">
        <v>291</v>
      </c>
      <c r="AM4" s="26" t="s">
        <v>253</v>
      </c>
      <c r="AN4" s="26" t="s">
        <v>1060</v>
      </c>
      <c r="AO4" s="26" t="s">
        <v>263</v>
      </c>
      <c r="AP4" s="106" t="s">
        <v>1041</v>
      </c>
    </row>
    <row r="5" spans="1:47">
      <c r="K5" s="187"/>
      <c r="L5" s="1"/>
      <c r="M5" s="1"/>
      <c r="AA5" s="218"/>
      <c r="AB5" s="219"/>
      <c r="AC5" s="219"/>
      <c r="AD5" s="219"/>
      <c r="AE5" s="219"/>
      <c r="AF5" s="220"/>
      <c r="AL5" s="26" t="s">
        <v>292</v>
      </c>
      <c r="AM5" s="26" t="s">
        <v>254</v>
      </c>
      <c r="AN5" s="26" t="s">
        <v>1059</v>
      </c>
      <c r="AO5" s="26" t="s">
        <v>264</v>
      </c>
      <c r="AP5" s="26" t="s">
        <v>270</v>
      </c>
      <c r="AQ5" s="106"/>
      <c r="AR5" s="106"/>
      <c r="AS5" s="106"/>
      <c r="AT5" s="106"/>
      <c r="AU5" s="95"/>
    </row>
    <row r="6" spans="1:47" ht="23.25">
      <c r="K6" s="2" t="s">
        <v>4</v>
      </c>
      <c r="M6" s="3"/>
      <c r="O6" s="2"/>
      <c r="P6" s="4"/>
      <c r="Q6" s="4"/>
      <c r="R6" s="4"/>
      <c r="S6" s="4"/>
      <c r="T6" s="4"/>
      <c r="U6" s="5"/>
      <c r="V6" s="5"/>
      <c r="W6" s="5"/>
      <c r="AA6" s="218"/>
      <c r="AB6" s="219"/>
      <c r="AC6" s="219"/>
      <c r="AD6" s="219"/>
      <c r="AE6" s="219"/>
      <c r="AF6" s="220"/>
      <c r="AL6" s="26" t="s">
        <v>293</v>
      </c>
      <c r="AM6" s="26" t="s">
        <v>250</v>
      </c>
      <c r="AN6" s="26" t="s">
        <v>1058</v>
      </c>
      <c r="AO6" s="26" t="s">
        <v>265</v>
      </c>
      <c r="AP6" s="26" t="s">
        <v>271</v>
      </c>
      <c r="AQ6" s="106"/>
      <c r="AR6" s="106"/>
      <c r="AS6" s="106"/>
      <c r="AT6" s="106"/>
      <c r="AU6" s="95"/>
    </row>
    <row r="7" spans="1:47" ht="14.25" customHeight="1">
      <c r="K7" s="106"/>
      <c r="AA7" s="221"/>
      <c r="AB7" s="222"/>
      <c r="AC7" s="222"/>
      <c r="AD7" s="222"/>
      <c r="AE7" s="222"/>
      <c r="AF7" s="223"/>
      <c r="AL7" s="26" t="s">
        <v>294</v>
      </c>
      <c r="AM7" s="26" t="s">
        <v>251</v>
      </c>
      <c r="AN7" s="26" t="s">
        <v>1057</v>
      </c>
      <c r="AO7" s="26" t="s">
        <v>266</v>
      </c>
      <c r="AP7" s="26" t="s">
        <v>272</v>
      </c>
      <c r="AQ7" s="106"/>
      <c r="AR7" s="106"/>
      <c r="AS7" s="106"/>
      <c r="AT7" s="106"/>
      <c r="AU7" s="95"/>
    </row>
    <row r="8" spans="1:47" ht="14.25" customHeight="1">
      <c r="K8" s="106"/>
      <c r="AL8" s="26" t="s">
        <v>968</v>
      </c>
      <c r="AM8" s="26" t="s">
        <v>256</v>
      </c>
      <c r="AN8" s="26" t="s">
        <v>1056</v>
      </c>
      <c r="AO8" s="26" t="s">
        <v>267</v>
      </c>
      <c r="AP8" s="26" t="s">
        <v>1009</v>
      </c>
      <c r="AQ8" s="106"/>
      <c r="AR8" s="106"/>
      <c r="AS8" s="106"/>
      <c r="AT8" s="106"/>
      <c r="AU8" s="95"/>
    </row>
    <row r="9" spans="1:47" ht="27.75" customHeight="1">
      <c r="C9" s="245" t="s">
        <v>100</v>
      </c>
      <c r="D9" s="246"/>
      <c r="E9" s="246"/>
      <c r="F9" s="246"/>
      <c r="G9" s="246"/>
      <c r="H9" s="246"/>
      <c r="I9" s="6"/>
      <c r="K9" s="358" t="s">
        <v>1083</v>
      </c>
      <c r="L9" s="359"/>
      <c r="M9" s="359"/>
      <c r="N9" s="359"/>
      <c r="O9" s="359"/>
      <c r="P9" s="359"/>
      <c r="Q9" s="359"/>
      <c r="R9" s="359"/>
      <c r="S9" s="359" t="s">
        <v>1084</v>
      </c>
      <c r="T9" s="359"/>
      <c r="U9" s="359"/>
      <c r="V9" s="359"/>
      <c r="W9" s="359"/>
      <c r="X9" s="359"/>
      <c r="Y9" s="359"/>
      <c r="Z9" s="359"/>
      <c r="AA9" s="359"/>
      <c r="AB9" s="359"/>
      <c r="AC9" s="359"/>
      <c r="AD9" s="359"/>
      <c r="AE9" s="359"/>
      <c r="AF9" s="359"/>
      <c r="AG9" s="359"/>
      <c r="AH9" s="360"/>
      <c r="AL9" s="26" t="s">
        <v>295</v>
      </c>
      <c r="AM9" s="26" t="s">
        <v>257</v>
      </c>
      <c r="AN9" s="26" t="s">
        <v>1055</v>
      </c>
      <c r="AO9" s="26" t="s">
        <v>268</v>
      </c>
      <c r="AP9" s="26" t="s">
        <v>273</v>
      </c>
      <c r="AQ9" s="106"/>
      <c r="AR9" s="106"/>
      <c r="AS9" s="106"/>
      <c r="AT9" s="106"/>
    </row>
    <row r="10" spans="1:47" ht="12.75" customHeight="1">
      <c r="C10" s="7"/>
      <c r="D10" s="6"/>
      <c r="E10" s="7"/>
      <c r="F10" s="6"/>
      <c r="G10" s="6"/>
      <c r="H10" s="6"/>
      <c r="I10" s="6"/>
      <c r="K10" s="237" t="s">
        <v>350</v>
      </c>
      <c r="L10" s="237"/>
      <c r="M10" s="237"/>
      <c r="N10" s="237"/>
      <c r="O10" s="237"/>
      <c r="P10" s="237"/>
      <c r="Q10" s="237"/>
      <c r="R10" s="237"/>
      <c r="S10" s="237" t="s">
        <v>803</v>
      </c>
      <c r="T10" s="237"/>
      <c r="U10" s="237"/>
      <c r="V10" s="237"/>
      <c r="W10" s="237"/>
      <c r="X10" s="237"/>
      <c r="Y10" s="237"/>
      <c r="Z10" s="237"/>
      <c r="AA10" s="237" t="s">
        <v>804</v>
      </c>
      <c r="AB10" s="237"/>
      <c r="AC10" s="237"/>
      <c r="AD10" s="237"/>
      <c r="AE10" s="237"/>
      <c r="AF10" s="237"/>
      <c r="AG10" s="237"/>
      <c r="AH10" s="237"/>
      <c r="AL10" s="26" t="s">
        <v>296</v>
      </c>
      <c r="AM10" s="26" t="s">
        <v>255</v>
      </c>
      <c r="AN10" s="26" t="s">
        <v>249</v>
      </c>
      <c r="AO10" s="106"/>
      <c r="AP10" s="26" t="s">
        <v>274</v>
      </c>
      <c r="AQ10" s="106"/>
      <c r="AR10" s="106"/>
      <c r="AS10" s="106"/>
      <c r="AT10" s="106"/>
    </row>
    <row r="11" spans="1:47" ht="15" customHeight="1">
      <c r="A11"/>
      <c r="B11"/>
      <c r="C11"/>
      <c r="D11"/>
      <c r="E11"/>
      <c r="F11"/>
      <c r="G11"/>
      <c r="H11"/>
      <c r="I11"/>
      <c r="J11"/>
      <c r="K11"/>
      <c r="L11"/>
      <c r="M11"/>
      <c r="N11"/>
      <c r="O11"/>
      <c r="P11"/>
      <c r="Q11"/>
      <c r="R11"/>
      <c r="S11"/>
      <c r="T11"/>
      <c r="U11"/>
      <c r="V11"/>
      <c r="W11"/>
      <c r="X11"/>
      <c r="Y11"/>
      <c r="Z11"/>
      <c r="AA11"/>
      <c r="AB11"/>
      <c r="AC11"/>
      <c r="AD11"/>
      <c r="AE11"/>
      <c r="AF11"/>
      <c r="AG11"/>
      <c r="AH11"/>
      <c r="AI11"/>
      <c r="AJ11"/>
      <c r="AL11" s="26" t="s">
        <v>297</v>
      </c>
      <c r="AM11" s="26" t="s">
        <v>986</v>
      </c>
      <c r="AN11" s="106"/>
      <c r="AO11" s="106"/>
      <c r="AP11" s="26" t="s">
        <v>275</v>
      </c>
      <c r="AQ11" s="106"/>
      <c r="AR11" s="106"/>
      <c r="AS11" s="106"/>
      <c r="AT11" s="106"/>
    </row>
    <row r="12" spans="1:47" ht="29.25" customHeight="1">
      <c r="C12" s="357" t="s">
        <v>939</v>
      </c>
      <c r="D12" s="246"/>
      <c r="E12" s="246"/>
      <c r="F12" s="246"/>
      <c r="G12" s="246"/>
      <c r="H12" s="246"/>
      <c r="I12" s="6"/>
      <c r="J12" s="6"/>
      <c r="K12" s="343" t="s">
        <v>1083</v>
      </c>
      <c r="L12" s="319"/>
      <c r="M12" s="319"/>
      <c r="N12" s="319"/>
      <c r="O12" s="319"/>
      <c r="P12" s="319"/>
      <c r="Q12" s="319"/>
      <c r="R12" s="319"/>
      <c r="S12" s="319" t="s">
        <v>1085</v>
      </c>
      <c r="T12" s="319"/>
      <c r="U12" s="319"/>
      <c r="V12" s="319"/>
      <c r="W12" s="319"/>
      <c r="X12" s="319"/>
      <c r="Y12" s="319"/>
      <c r="Z12" s="319"/>
      <c r="AA12" s="319"/>
      <c r="AB12" s="319"/>
      <c r="AC12" s="319"/>
      <c r="AD12" s="319"/>
      <c r="AE12" s="319"/>
      <c r="AF12" s="319"/>
      <c r="AG12" s="319"/>
      <c r="AH12" s="320"/>
      <c r="AL12" s="106" t="s">
        <v>969</v>
      </c>
      <c r="AM12" s="26" t="s">
        <v>258</v>
      </c>
      <c r="AN12" s="106"/>
      <c r="AO12" s="106"/>
      <c r="AP12" s="26" t="s">
        <v>1010</v>
      </c>
      <c r="AQ12" s="106"/>
      <c r="AR12" s="106"/>
      <c r="AS12" s="106"/>
      <c r="AT12" s="106"/>
    </row>
    <row r="13" spans="1:47" ht="15" customHeight="1">
      <c r="K13" s="238" t="s">
        <v>350</v>
      </c>
      <c r="L13" s="238"/>
      <c r="M13" s="238"/>
      <c r="N13" s="238"/>
      <c r="O13" s="238"/>
      <c r="P13" s="238"/>
      <c r="Q13" s="238"/>
      <c r="R13" s="238"/>
      <c r="S13" s="238" t="s">
        <v>803</v>
      </c>
      <c r="T13" s="238"/>
      <c r="U13" s="238"/>
      <c r="V13" s="238"/>
      <c r="W13" s="238"/>
      <c r="X13" s="238"/>
      <c r="Y13" s="238"/>
      <c r="Z13" s="238"/>
      <c r="AA13" s="237" t="s">
        <v>804</v>
      </c>
      <c r="AB13" s="237"/>
      <c r="AC13" s="237"/>
      <c r="AD13" s="237"/>
      <c r="AE13" s="237"/>
      <c r="AF13" s="237"/>
      <c r="AG13" s="237"/>
      <c r="AH13" s="237"/>
      <c r="AL13" s="106" t="s">
        <v>970</v>
      </c>
      <c r="AM13" s="26" t="s">
        <v>987</v>
      </c>
      <c r="AN13" s="106"/>
      <c r="AO13" s="106"/>
      <c r="AP13" s="26" t="s">
        <v>1011</v>
      </c>
      <c r="AQ13" s="106"/>
      <c r="AR13" s="106"/>
      <c r="AS13" s="106"/>
      <c r="AT13" s="106"/>
    </row>
    <row r="14" spans="1:47" ht="20.100000000000001" customHeight="1">
      <c r="B14" s="6"/>
      <c r="C14" s="231" t="s">
        <v>5</v>
      </c>
      <c r="D14" s="231"/>
      <c r="E14" s="231"/>
      <c r="F14" s="231"/>
      <c r="G14" s="231"/>
      <c r="H14" s="6"/>
      <c r="I14" s="6"/>
      <c r="K14" s="227">
        <v>28</v>
      </c>
      <c r="L14" s="225"/>
      <c r="M14" s="11"/>
      <c r="N14" s="343" t="s">
        <v>968</v>
      </c>
      <c r="O14" s="320"/>
      <c r="P14" s="11"/>
      <c r="Q14" s="343">
        <v>1998</v>
      </c>
      <c r="R14" s="319"/>
      <c r="S14" s="319"/>
      <c r="T14" s="320"/>
      <c r="V14" s="232" t="s">
        <v>6</v>
      </c>
      <c r="W14" s="232"/>
      <c r="X14" s="232"/>
      <c r="Y14" s="12"/>
      <c r="Z14" s="227" t="s">
        <v>1086</v>
      </c>
      <c r="AA14" s="224"/>
      <c r="AB14" s="224"/>
      <c r="AC14" s="224"/>
      <c r="AD14" s="224"/>
      <c r="AE14" s="224"/>
      <c r="AF14" s="224"/>
      <c r="AG14" s="224"/>
      <c r="AH14" s="225"/>
      <c r="AL14" s="106"/>
      <c r="AM14" s="26" t="s">
        <v>260</v>
      </c>
      <c r="AN14" s="106"/>
      <c r="AO14" s="106"/>
      <c r="AP14" s="26" t="s">
        <v>1012</v>
      </c>
      <c r="AQ14" s="106"/>
      <c r="AR14" s="106"/>
      <c r="AS14" s="106"/>
      <c r="AT14" s="106"/>
    </row>
    <row r="15" spans="1:47" ht="15" customHeight="1">
      <c r="AL15" s="106"/>
      <c r="AM15" s="26" t="s">
        <v>261</v>
      </c>
      <c r="AN15" s="106"/>
      <c r="AO15" s="106"/>
      <c r="AP15" s="26" t="s">
        <v>276</v>
      </c>
      <c r="AQ15" s="106"/>
      <c r="AR15" s="106"/>
      <c r="AS15" s="106"/>
      <c r="AT15" s="106"/>
    </row>
    <row r="16" spans="1:47" ht="20.100000000000001" customHeight="1">
      <c r="C16" s="231" t="s">
        <v>7</v>
      </c>
      <c r="D16" s="231"/>
      <c r="E16" s="231"/>
      <c r="F16" s="231"/>
      <c r="G16" s="6"/>
      <c r="H16" s="6"/>
      <c r="K16" s="227" t="s">
        <v>1040</v>
      </c>
      <c r="L16" s="224"/>
      <c r="M16" s="224"/>
      <c r="N16" s="224"/>
      <c r="O16" s="224"/>
      <c r="P16" s="224"/>
      <c r="Q16" s="224"/>
      <c r="R16" s="224"/>
      <c r="S16" s="224"/>
      <c r="T16" s="225"/>
      <c r="V16" s="350" t="s">
        <v>8</v>
      </c>
      <c r="W16" s="350"/>
      <c r="X16" s="350"/>
      <c r="Y16" s="351"/>
      <c r="Z16" s="227" t="s">
        <v>1087</v>
      </c>
      <c r="AA16" s="224"/>
      <c r="AB16" s="224"/>
      <c r="AC16" s="224"/>
      <c r="AD16" s="224"/>
      <c r="AE16" s="224"/>
      <c r="AF16" s="224"/>
      <c r="AG16" s="224"/>
      <c r="AH16" s="225"/>
      <c r="AL16" s="106"/>
      <c r="AM16" s="26" t="s">
        <v>259</v>
      </c>
      <c r="AN16" s="106"/>
      <c r="AO16" s="106"/>
      <c r="AP16" s="26" t="s">
        <v>277</v>
      </c>
      <c r="AQ16" s="106"/>
      <c r="AR16" s="106"/>
      <c r="AS16" s="106"/>
      <c r="AT16" s="106"/>
    </row>
    <row r="17" spans="3:46" ht="15" customHeight="1">
      <c r="AL17" s="106"/>
      <c r="AM17" s="106" t="s">
        <v>786</v>
      </c>
      <c r="AN17" s="106"/>
      <c r="AO17" s="106"/>
      <c r="AP17" s="26" t="s">
        <v>278</v>
      </c>
      <c r="AQ17" s="106"/>
      <c r="AR17" s="106"/>
      <c r="AS17" s="106"/>
      <c r="AT17" s="106"/>
    </row>
    <row r="18" spans="3:46" ht="20.100000000000001" customHeight="1">
      <c r="C18" s="350" t="s">
        <v>940</v>
      </c>
      <c r="D18" s="350"/>
      <c r="E18" s="350"/>
      <c r="F18" s="350"/>
      <c r="K18" s="227" t="s">
        <v>1088</v>
      </c>
      <c r="L18" s="224"/>
      <c r="M18" s="224"/>
      <c r="N18" s="224"/>
      <c r="O18" s="224"/>
      <c r="P18" s="224"/>
      <c r="Q18" s="224"/>
      <c r="R18" s="224"/>
      <c r="S18" s="224"/>
      <c r="T18" s="225"/>
      <c r="V18" s="350" t="s">
        <v>125</v>
      </c>
      <c r="W18" s="350"/>
      <c r="X18" s="350"/>
      <c r="Y18" s="350"/>
      <c r="Z18" s="227"/>
      <c r="AA18" s="224"/>
      <c r="AB18" s="224"/>
      <c r="AC18" s="224"/>
      <c r="AD18" s="224"/>
      <c r="AE18" s="224"/>
      <c r="AF18" s="224"/>
      <c r="AG18" s="224"/>
      <c r="AH18" s="225"/>
      <c r="AL18" s="106"/>
      <c r="AM18" s="106" t="s">
        <v>787</v>
      </c>
      <c r="AN18" s="106"/>
      <c r="AO18" s="106"/>
      <c r="AP18" s="26" t="s">
        <v>279</v>
      </c>
      <c r="AQ18" s="106"/>
      <c r="AR18" s="106"/>
      <c r="AS18" s="106"/>
      <c r="AT18" s="106"/>
    </row>
    <row r="19" spans="3:46" s="104" customFormat="1" ht="15" customHeight="1">
      <c r="AL19" s="106"/>
      <c r="AM19" s="26"/>
      <c r="AN19" s="106"/>
      <c r="AO19" s="106"/>
      <c r="AP19" s="26" t="s">
        <v>280</v>
      </c>
      <c r="AQ19" s="106"/>
      <c r="AR19" s="106"/>
      <c r="AS19" s="106"/>
      <c r="AT19" s="106"/>
    </row>
    <row r="20" spans="3:46" s="104" customFormat="1" ht="20.100000000000001" customHeight="1">
      <c r="C20" s="350" t="s">
        <v>974</v>
      </c>
      <c r="D20" s="350"/>
      <c r="E20" s="350"/>
      <c r="F20" s="350"/>
      <c r="G20" s="350"/>
      <c r="H20" s="350"/>
      <c r="I20" s="350"/>
      <c r="K20" s="356"/>
      <c r="L20" s="356"/>
      <c r="M20" s="356"/>
      <c r="N20" s="356"/>
      <c r="O20" s="356"/>
      <c r="P20" s="356"/>
      <c r="Q20" s="356"/>
      <c r="R20" s="356"/>
      <c r="S20" s="356"/>
      <c r="T20" s="356"/>
      <c r="V20" s="350" t="s">
        <v>802</v>
      </c>
      <c r="W20" s="350"/>
      <c r="X20" s="350"/>
      <c r="Y20" s="350"/>
      <c r="Z20" s="356" t="s">
        <v>1089</v>
      </c>
      <c r="AA20" s="356"/>
      <c r="AB20" s="356"/>
      <c r="AC20" s="356"/>
      <c r="AD20" s="356"/>
      <c r="AE20" s="356"/>
      <c r="AF20" s="356"/>
      <c r="AG20" s="356"/>
      <c r="AH20" s="356"/>
      <c r="AL20" s="106"/>
      <c r="AM20" s="106"/>
      <c r="AN20" s="106"/>
      <c r="AO20" s="106"/>
      <c r="AP20" s="26" t="s">
        <v>1046</v>
      </c>
      <c r="AQ20" s="106"/>
      <c r="AR20" s="106"/>
      <c r="AS20" s="106"/>
      <c r="AT20" s="106"/>
    </row>
    <row r="21" spans="3:46" s="13" customFormat="1" ht="15" customHeight="1">
      <c r="C21" s="14"/>
      <c r="K21" s="15"/>
      <c r="L21" s="15"/>
      <c r="M21" s="15"/>
      <c r="N21" s="15"/>
      <c r="O21" s="15"/>
      <c r="P21" s="15"/>
      <c r="Q21" s="15"/>
      <c r="R21" s="15"/>
      <c r="S21" s="15"/>
      <c r="T21" s="15"/>
      <c r="V21" s="22"/>
      <c r="W21" s="22"/>
      <c r="X21" s="22"/>
      <c r="Y21" s="22"/>
      <c r="Z21" s="15"/>
      <c r="AA21" s="15"/>
      <c r="AB21" s="15"/>
      <c r="AC21" s="15"/>
      <c r="AD21" s="15"/>
      <c r="AE21" s="15"/>
      <c r="AF21" s="15"/>
      <c r="AG21" s="15"/>
      <c r="AH21" s="15"/>
      <c r="AL21" s="106"/>
      <c r="AM21" s="106"/>
      <c r="AN21" s="106"/>
      <c r="AO21" s="106"/>
      <c r="AP21" s="26" t="s">
        <v>1047</v>
      </c>
      <c r="AQ21" s="106"/>
      <c r="AT21" s="106"/>
    </row>
    <row r="22" spans="3:46" ht="20.100000000000001" customHeight="1">
      <c r="C22" s="350" t="s">
        <v>10</v>
      </c>
      <c r="D22" s="350"/>
      <c r="E22" s="350"/>
      <c r="F22" s="350"/>
      <c r="G22" s="350"/>
      <c r="K22" s="227" t="s">
        <v>1090</v>
      </c>
      <c r="L22" s="224"/>
      <c r="M22" s="224"/>
      <c r="N22" s="224"/>
      <c r="O22" s="224"/>
      <c r="P22" s="224"/>
      <c r="Q22" s="224"/>
      <c r="R22" s="224"/>
      <c r="S22" s="224"/>
      <c r="T22" s="225"/>
      <c r="V22" s="350" t="s">
        <v>126</v>
      </c>
      <c r="W22" s="350"/>
      <c r="X22" s="350"/>
      <c r="Y22" s="351"/>
      <c r="Z22" s="227" t="s">
        <v>1058</v>
      </c>
      <c r="AA22" s="224"/>
      <c r="AB22" s="224"/>
      <c r="AC22" s="224"/>
      <c r="AD22" s="224"/>
      <c r="AE22" s="224"/>
      <c r="AF22" s="224"/>
      <c r="AG22" s="224"/>
      <c r="AH22" s="225"/>
      <c r="AL22" s="106"/>
      <c r="AM22" s="106"/>
      <c r="AN22" s="106"/>
      <c r="AO22" s="106"/>
      <c r="AP22" s="26" t="s">
        <v>281</v>
      </c>
      <c r="AQ22" s="106"/>
      <c r="AR22" s="26"/>
      <c r="AS22" s="106"/>
      <c r="AT22" s="13"/>
    </row>
    <row r="23" spans="3:46" ht="15" customHeight="1">
      <c r="AL23" s="106"/>
      <c r="AM23" s="106"/>
      <c r="AN23" s="106"/>
      <c r="AO23" s="106"/>
      <c r="AP23" s="27" t="s">
        <v>282</v>
      </c>
      <c r="AQ23" s="106"/>
      <c r="AR23" s="106"/>
      <c r="AS23" s="106"/>
      <c r="AT23" s="106"/>
    </row>
    <row r="24" spans="3:46" ht="20.100000000000001" customHeight="1">
      <c r="C24" s="350" t="s">
        <v>975</v>
      </c>
      <c r="D24" s="350"/>
      <c r="E24" s="350"/>
      <c r="F24" s="350"/>
      <c r="K24" s="227" t="s">
        <v>1015</v>
      </c>
      <c r="L24" s="224"/>
      <c r="M24" s="224"/>
      <c r="N24" s="224"/>
      <c r="O24" s="224"/>
      <c r="P24" s="224"/>
      <c r="Q24" s="224"/>
      <c r="R24" s="224"/>
      <c r="S24" s="224"/>
      <c r="T24" s="225"/>
      <c r="V24" s="350" t="s">
        <v>9</v>
      </c>
      <c r="W24" s="350"/>
      <c r="X24" s="350"/>
      <c r="Y24" s="12"/>
      <c r="Z24" s="227" t="s">
        <v>262</v>
      </c>
      <c r="AA24" s="224"/>
      <c r="AB24" s="224"/>
      <c r="AC24" s="224"/>
      <c r="AD24" s="224"/>
      <c r="AE24" s="224"/>
      <c r="AF24" s="224"/>
      <c r="AG24" s="224"/>
      <c r="AH24" s="225"/>
      <c r="AL24" s="106"/>
      <c r="AM24" s="106"/>
      <c r="AN24" s="106"/>
      <c r="AO24" s="106"/>
      <c r="AP24" s="106" t="s">
        <v>1042</v>
      </c>
      <c r="AQ24" s="106"/>
      <c r="AR24" s="106"/>
      <c r="AS24" s="106"/>
      <c r="AT24" s="106"/>
    </row>
    <row r="25" spans="3:46" ht="15" customHeight="1">
      <c r="AL25" s="106"/>
      <c r="AM25" s="106"/>
      <c r="AN25" s="106"/>
      <c r="AO25" s="106"/>
      <c r="AP25" s="26" t="s">
        <v>283</v>
      </c>
      <c r="AQ25" s="106"/>
      <c r="AR25" s="106"/>
      <c r="AS25" s="106"/>
      <c r="AT25" s="106"/>
    </row>
    <row r="26" spans="3:46" ht="20.100000000000001" customHeight="1">
      <c r="C26" s="107" t="s">
        <v>128</v>
      </c>
      <c r="D26" s="107"/>
      <c r="E26" s="107"/>
      <c r="F26" s="12"/>
      <c r="G26" s="106"/>
      <c r="H26" s="106"/>
      <c r="I26" s="106"/>
      <c r="J26" s="106"/>
      <c r="K26" s="227" t="s">
        <v>1091</v>
      </c>
      <c r="L26" s="224"/>
      <c r="M26" s="224"/>
      <c r="N26" s="224"/>
      <c r="O26" s="224"/>
      <c r="P26" s="224"/>
      <c r="Q26" s="224"/>
      <c r="R26" s="224"/>
      <c r="S26" s="224"/>
      <c r="T26" s="225"/>
      <c r="V26" s="355" t="s">
        <v>937</v>
      </c>
      <c r="W26" s="355"/>
      <c r="X26" s="355"/>
      <c r="Y26" s="12"/>
      <c r="Z26" s="352" t="s">
        <v>1092</v>
      </c>
      <c r="AA26" s="353"/>
      <c r="AB26" s="353"/>
      <c r="AC26" s="353"/>
      <c r="AD26" s="353"/>
      <c r="AE26" s="353"/>
      <c r="AF26" s="353"/>
      <c r="AG26" s="353"/>
      <c r="AH26" s="354"/>
      <c r="AL26" s="106"/>
      <c r="AM26" s="106"/>
      <c r="AN26" s="106"/>
      <c r="AO26" s="106"/>
      <c r="AP26" s="106" t="s">
        <v>1043</v>
      </c>
      <c r="AQ26" s="106"/>
      <c r="AR26" s="106"/>
      <c r="AS26" s="106"/>
      <c r="AT26" s="106"/>
    </row>
    <row r="27" spans="3:46" ht="15" customHeight="1">
      <c r="AL27" s="106"/>
      <c r="AM27" s="106"/>
      <c r="AN27" s="106"/>
      <c r="AO27" s="106"/>
      <c r="AP27" s="26" t="s">
        <v>1044</v>
      </c>
      <c r="AQ27" s="106"/>
      <c r="AR27" s="106"/>
      <c r="AS27" s="106"/>
      <c r="AT27" s="106"/>
    </row>
    <row r="28" spans="3:46">
      <c r="C28" s="242" t="s">
        <v>976</v>
      </c>
      <c r="D28" s="243"/>
      <c r="E28" s="243"/>
      <c r="F28" s="243"/>
      <c r="G28" s="243"/>
      <c r="H28" s="243"/>
      <c r="I28" s="243"/>
      <c r="J28" s="243"/>
      <c r="K28" s="243"/>
      <c r="L28" s="243"/>
      <c r="M28" s="243"/>
      <c r="N28" s="243"/>
      <c r="O28" s="243"/>
      <c r="P28" s="243"/>
      <c r="Q28" s="243"/>
      <c r="R28" s="243"/>
      <c r="S28" s="243"/>
      <c r="T28" s="243"/>
      <c r="U28" s="243"/>
      <c r="V28" s="243"/>
      <c r="W28" s="243"/>
      <c r="X28" s="243"/>
      <c r="Y28" s="243"/>
      <c r="Z28" s="243"/>
      <c r="AA28" s="17"/>
      <c r="AB28" s="17"/>
      <c r="AC28" s="17"/>
      <c r="AD28" s="17"/>
      <c r="AE28" s="17"/>
      <c r="AF28" s="17"/>
      <c r="AG28" s="17"/>
      <c r="AH28" s="18"/>
      <c r="AL28" s="106"/>
      <c r="AM28" s="106"/>
      <c r="AN28" s="106"/>
      <c r="AO28" s="106"/>
      <c r="AP28" s="26" t="s">
        <v>1013</v>
      </c>
      <c r="AQ28" s="106"/>
      <c r="AR28" s="106"/>
      <c r="AS28" s="106"/>
      <c r="AT28" s="106"/>
    </row>
    <row r="29" spans="3:46" ht="90" customHeight="1">
      <c r="C29" s="239" t="s">
        <v>1093</v>
      </c>
      <c r="D29" s="240"/>
      <c r="E29" s="240"/>
      <c r="F29" s="240"/>
      <c r="G29" s="240"/>
      <c r="H29" s="240"/>
      <c r="I29" s="240"/>
      <c r="J29" s="240"/>
      <c r="K29" s="240"/>
      <c r="L29" s="240"/>
      <c r="M29" s="240"/>
      <c r="N29" s="240"/>
      <c r="O29" s="240"/>
      <c r="P29" s="240"/>
      <c r="Q29" s="240"/>
      <c r="R29" s="240"/>
      <c r="S29" s="240"/>
      <c r="T29" s="240"/>
      <c r="U29" s="240"/>
      <c r="V29" s="240"/>
      <c r="W29" s="240"/>
      <c r="X29" s="240"/>
      <c r="Y29" s="240"/>
      <c r="Z29" s="240"/>
      <c r="AA29" s="240"/>
      <c r="AB29" s="240"/>
      <c r="AC29" s="240"/>
      <c r="AD29" s="240"/>
      <c r="AE29" s="240"/>
      <c r="AF29" s="240"/>
      <c r="AG29" s="240"/>
      <c r="AH29" s="241"/>
      <c r="AL29" s="106"/>
      <c r="AM29" s="106"/>
      <c r="AN29" s="106"/>
      <c r="AO29" s="106"/>
      <c r="AP29" s="26" t="s">
        <v>1045</v>
      </c>
      <c r="AQ29" s="106"/>
      <c r="AR29" s="106"/>
      <c r="AS29" s="106"/>
      <c r="AT29" s="106"/>
    </row>
    <row r="30" spans="3:46">
      <c r="C30" s="233" t="s">
        <v>1048</v>
      </c>
      <c r="D30" s="233"/>
      <c r="E30" s="233"/>
      <c r="F30" s="227" t="s">
        <v>1094</v>
      </c>
      <c r="G30" s="224"/>
      <c r="H30" s="224"/>
      <c r="I30" s="224"/>
      <c r="J30" s="224"/>
      <c r="K30" s="224"/>
      <c r="L30" s="224"/>
      <c r="M30" s="224"/>
      <c r="N30" s="225"/>
      <c r="O30" s="228" t="s">
        <v>214</v>
      </c>
      <c r="P30" s="229"/>
      <c r="Q30" s="230"/>
      <c r="R30" s="234" t="s">
        <v>1015</v>
      </c>
      <c r="S30" s="235"/>
      <c r="T30" s="235"/>
      <c r="U30" s="235"/>
      <c r="V30" s="235"/>
      <c r="W30" s="235"/>
      <c r="X30" s="235"/>
      <c r="Y30" s="235"/>
      <c r="Z30" s="235"/>
      <c r="AA30" s="236"/>
      <c r="AB30" s="226" t="s">
        <v>127</v>
      </c>
      <c r="AC30" s="226"/>
      <c r="AD30" s="226"/>
      <c r="AE30" s="224">
        <v>500038</v>
      </c>
      <c r="AF30" s="224"/>
      <c r="AG30" s="224"/>
      <c r="AH30" s="225"/>
      <c r="AL30" s="106"/>
      <c r="AM30" s="106"/>
      <c r="AN30" s="106"/>
      <c r="AO30" s="106"/>
      <c r="AP30" s="26" t="s">
        <v>1014</v>
      </c>
      <c r="AQ30" s="106"/>
      <c r="AR30" s="106"/>
      <c r="AS30" s="106"/>
      <c r="AT30" s="106"/>
    </row>
    <row r="31" spans="3:46">
      <c r="C31" s="242" t="s">
        <v>129</v>
      </c>
      <c r="D31" s="243"/>
      <c r="E31" s="243"/>
      <c r="F31" s="243"/>
      <c r="G31" s="243"/>
      <c r="H31" s="243"/>
      <c r="I31" s="243"/>
      <c r="J31" s="243"/>
      <c r="K31" s="243"/>
      <c r="L31" s="243"/>
      <c r="M31" s="243"/>
      <c r="N31" s="243"/>
      <c r="O31" s="243"/>
      <c r="P31" s="243"/>
      <c r="Q31" s="243"/>
      <c r="R31" s="243"/>
      <c r="S31" s="243"/>
      <c r="T31" s="243"/>
      <c r="U31" s="243"/>
      <c r="V31" s="243"/>
      <c r="W31" s="243"/>
      <c r="X31" s="243"/>
      <c r="Y31" s="243"/>
      <c r="Z31" s="243"/>
      <c r="AA31" s="243"/>
      <c r="AB31" s="243"/>
      <c r="AC31" s="243"/>
      <c r="AD31" s="243"/>
      <c r="AE31" s="243"/>
      <c r="AF31" s="243"/>
      <c r="AG31" s="243"/>
      <c r="AH31" s="244"/>
      <c r="AL31" s="106"/>
      <c r="AM31" s="106"/>
      <c r="AN31" s="106"/>
      <c r="AO31" s="106"/>
      <c r="AP31" s="26" t="s">
        <v>284</v>
      </c>
      <c r="AQ31" s="106"/>
      <c r="AR31" s="106"/>
      <c r="AS31" s="106"/>
      <c r="AT31" s="106"/>
    </row>
    <row r="32" spans="3:46" ht="75.75" customHeight="1">
      <c r="C32" s="239" t="s">
        <v>1096</v>
      </c>
      <c r="D32" s="240"/>
      <c r="E32" s="240"/>
      <c r="F32" s="240"/>
      <c r="G32" s="240"/>
      <c r="H32" s="240"/>
      <c r="I32" s="240"/>
      <c r="J32" s="240"/>
      <c r="K32" s="240"/>
      <c r="L32" s="240"/>
      <c r="M32" s="240"/>
      <c r="N32" s="240"/>
      <c r="O32" s="240"/>
      <c r="P32" s="240"/>
      <c r="Q32" s="240"/>
      <c r="R32" s="240"/>
      <c r="S32" s="240"/>
      <c r="T32" s="240"/>
      <c r="U32" s="240"/>
      <c r="V32" s="240"/>
      <c r="W32" s="240"/>
      <c r="X32" s="240"/>
      <c r="Y32" s="240"/>
      <c r="Z32" s="240"/>
      <c r="AA32" s="240"/>
      <c r="AB32" s="240"/>
      <c r="AC32" s="240"/>
      <c r="AD32" s="240"/>
      <c r="AE32" s="240"/>
      <c r="AF32" s="240"/>
      <c r="AG32" s="240"/>
      <c r="AH32" s="241"/>
      <c r="AL32" s="106"/>
      <c r="AM32" s="106"/>
      <c r="AN32" s="106"/>
      <c r="AO32" s="106"/>
      <c r="AP32" s="26" t="s">
        <v>285</v>
      </c>
      <c r="AQ32" s="106"/>
      <c r="AR32" s="106"/>
      <c r="AS32" s="106"/>
      <c r="AT32" s="106"/>
    </row>
    <row r="33" spans="3:46">
      <c r="C33" s="233" t="s">
        <v>1048</v>
      </c>
      <c r="D33" s="233"/>
      <c r="E33" s="233"/>
      <c r="F33" s="227" t="s">
        <v>1095</v>
      </c>
      <c r="G33" s="224"/>
      <c r="H33" s="224"/>
      <c r="I33" s="224"/>
      <c r="J33" s="224"/>
      <c r="K33" s="224"/>
      <c r="L33" s="224"/>
      <c r="M33" s="224"/>
      <c r="N33" s="225"/>
      <c r="O33" s="228" t="s">
        <v>214</v>
      </c>
      <c r="P33" s="229"/>
      <c r="Q33" s="230"/>
      <c r="R33" s="234" t="s">
        <v>1015</v>
      </c>
      <c r="S33" s="235"/>
      <c r="T33" s="235"/>
      <c r="U33" s="235"/>
      <c r="V33" s="235"/>
      <c r="W33" s="235"/>
      <c r="X33" s="235"/>
      <c r="Y33" s="235"/>
      <c r="Z33" s="235"/>
      <c r="AA33" s="236"/>
      <c r="AB33" s="226" t="s">
        <v>127</v>
      </c>
      <c r="AC33" s="226"/>
      <c r="AD33" s="226"/>
      <c r="AE33" s="224">
        <v>502103</v>
      </c>
      <c r="AF33" s="224"/>
      <c r="AG33" s="224"/>
      <c r="AH33" s="225"/>
      <c r="AL33" s="106"/>
      <c r="AM33" s="106"/>
      <c r="AN33" s="106"/>
      <c r="AO33" s="106"/>
      <c r="AP33" s="26" t="s">
        <v>286</v>
      </c>
      <c r="AQ33" s="106"/>
      <c r="AR33" s="106"/>
      <c r="AS33" s="106"/>
      <c r="AT33" s="106"/>
    </row>
    <row r="34" spans="3:46">
      <c r="R34" s="19"/>
      <c r="AL34" s="106"/>
      <c r="AM34" s="106"/>
      <c r="AN34" s="106"/>
      <c r="AO34" s="106"/>
      <c r="AP34" s="26" t="s">
        <v>287</v>
      </c>
      <c r="AQ34" s="106"/>
      <c r="AR34" s="106"/>
      <c r="AS34" s="106"/>
      <c r="AT34" s="106"/>
    </row>
    <row r="35" spans="3:46">
      <c r="R35" s="193">
        <v>1</v>
      </c>
      <c r="AL35" s="106"/>
      <c r="AM35" s="106"/>
      <c r="AN35" s="106"/>
      <c r="AO35" s="106"/>
      <c r="AP35" s="26" t="s">
        <v>1015</v>
      </c>
      <c r="AQ35" s="106"/>
      <c r="AR35" s="106"/>
      <c r="AS35" s="106"/>
      <c r="AT35" s="106"/>
    </row>
    <row r="36" spans="3:46">
      <c r="D36" s="6"/>
      <c r="AL36" s="106"/>
      <c r="AM36" s="106"/>
      <c r="AN36" s="106"/>
      <c r="AO36" s="106"/>
      <c r="AP36" s="26" t="s">
        <v>1016</v>
      </c>
      <c r="AQ36" s="106"/>
      <c r="AR36" s="106"/>
      <c r="AS36" s="106"/>
      <c r="AT36" s="106"/>
    </row>
    <row r="37" spans="3:46" ht="15" customHeight="1">
      <c r="AL37" s="106"/>
      <c r="AM37" s="106"/>
      <c r="AN37" s="106"/>
      <c r="AO37" s="106"/>
      <c r="AP37" s="106" t="s">
        <v>1017</v>
      </c>
      <c r="AQ37" s="106"/>
      <c r="AR37" s="106"/>
      <c r="AS37" s="106"/>
      <c r="AT37" s="106"/>
    </row>
    <row r="38" spans="3:46" ht="15" customHeight="1">
      <c r="AL38" s="106"/>
      <c r="AM38" s="106"/>
      <c r="AN38" s="106"/>
      <c r="AO38" s="106"/>
      <c r="AP38" s="106" t="s">
        <v>288</v>
      </c>
      <c r="AQ38" s="106"/>
      <c r="AR38" s="106"/>
      <c r="AS38" s="106"/>
      <c r="AT38" s="106"/>
    </row>
    <row r="39" spans="3:46" ht="15" customHeight="1">
      <c r="AL39" s="106"/>
      <c r="AM39" s="106"/>
      <c r="AN39" s="106"/>
      <c r="AO39" s="106"/>
      <c r="AP39" s="106" t="s">
        <v>289</v>
      </c>
      <c r="AQ39" s="106"/>
      <c r="AR39" s="106"/>
      <c r="AS39" s="106"/>
      <c r="AT39" s="106"/>
    </row>
    <row r="40" spans="3:46" ht="15" customHeight="1">
      <c r="AL40" s="106"/>
      <c r="AM40" s="106"/>
      <c r="AN40" s="106"/>
      <c r="AO40" s="106"/>
      <c r="AP40" s="106"/>
      <c r="AQ40" s="106"/>
      <c r="AR40" s="106"/>
      <c r="AS40" s="106"/>
      <c r="AT40" s="106"/>
    </row>
    <row r="41" spans="3:46" ht="15" customHeight="1">
      <c r="C41" s="140" t="s">
        <v>988</v>
      </c>
      <c r="D41" s="141"/>
      <c r="E41" s="141"/>
      <c r="F41" s="141"/>
      <c r="G41" s="141"/>
      <c r="H41" s="144"/>
      <c r="I41" s="144"/>
      <c r="J41" s="144"/>
      <c r="K41" s="144"/>
      <c r="L41" s="144"/>
      <c r="M41" s="144"/>
      <c r="N41" s="144"/>
      <c r="O41" s="144"/>
      <c r="P41" s="146"/>
      <c r="Q41" s="146"/>
      <c r="R41" s="146"/>
      <c r="S41" s="146"/>
      <c r="T41" s="146"/>
      <c r="U41" s="146"/>
      <c r="V41" s="146"/>
      <c r="W41" s="146"/>
      <c r="X41" s="146"/>
      <c r="Y41" s="146"/>
      <c r="Z41" s="146"/>
      <c r="AA41" s="146"/>
      <c r="AB41" s="146"/>
      <c r="AC41" s="146"/>
      <c r="AD41" s="146"/>
      <c r="AE41" s="146"/>
      <c r="AF41" s="146"/>
      <c r="AG41" s="146"/>
      <c r="AH41" s="147"/>
      <c r="AI41" s="106"/>
      <c r="AP41" s="106"/>
    </row>
    <row r="42" spans="3:46" ht="43.5" customHeight="1">
      <c r="C42" s="316" t="s">
        <v>11</v>
      </c>
      <c r="D42" s="317"/>
      <c r="E42" s="318"/>
      <c r="F42" s="316" t="s">
        <v>12</v>
      </c>
      <c r="G42" s="317"/>
      <c r="H42" s="317"/>
      <c r="I42" s="317"/>
      <c r="J42" s="317"/>
      <c r="K42" s="317"/>
      <c r="L42" s="317"/>
      <c r="M42" s="317"/>
      <c r="N42" s="317"/>
      <c r="O42" s="318"/>
      <c r="P42" s="316" t="s">
        <v>13</v>
      </c>
      <c r="Q42" s="317"/>
      <c r="R42" s="317"/>
      <c r="S42" s="317"/>
      <c r="T42" s="318"/>
      <c r="U42" s="213" t="s">
        <v>938</v>
      </c>
      <c r="V42" s="317"/>
      <c r="W42" s="317"/>
      <c r="X42" s="317"/>
      <c r="Y42" s="317"/>
      <c r="Z42" s="318"/>
      <c r="AA42" s="316" t="s">
        <v>14</v>
      </c>
      <c r="AB42" s="317"/>
      <c r="AC42" s="317"/>
      <c r="AD42" s="318"/>
      <c r="AE42" s="346" t="s">
        <v>947</v>
      </c>
      <c r="AF42" s="347"/>
      <c r="AG42" s="347"/>
      <c r="AH42" s="348"/>
    </row>
    <row r="43" spans="3:46" ht="20.100000000000001" customHeight="1">
      <c r="C43" s="297">
        <v>1</v>
      </c>
      <c r="D43" s="349"/>
      <c r="E43" s="298"/>
      <c r="F43" s="227" t="s">
        <v>1097</v>
      </c>
      <c r="G43" s="224"/>
      <c r="H43" s="224"/>
      <c r="I43" s="224"/>
      <c r="J43" s="224"/>
      <c r="K43" s="224"/>
      <c r="L43" s="224"/>
      <c r="M43" s="224"/>
      <c r="N43" s="224"/>
      <c r="O43" s="225"/>
      <c r="P43" s="227" t="s">
        <v>250</v>
      </c>
      <c r="Q43" s="224"/>
      <c r="R43" s="224"/>
      <c r="S43" s="224"/>
      <c r="T43" s="225"/>
      <c r="U43" s="227">
        <v>19</v>
      </c>
      <c r="V43" s="225"/>
      <c r="W43" s="343" t="s">
        <v>1078</v>
      </c>
      <c r="X43" s="320"/>
      <c r="Y43" s="343">
        <v>1970</v>
      </c>
      <c r="Z43" s="320"/>
      <c r="AA43" s="227" t="s">
        <v>1098</v>
      </c>
      <c r="AB43" s="224"/>
      <c r="AC43" s="224"/>
      <c r="AD43" s="225"/>
      <c r="AE43" s="227" t="s">
        <v>827</v>
      </c>
      <c r="AF43" s="224"/>
      <c r="AG43" s="224"/>
      <c r="AH43" s="225"/>
      <c r="AL43" s="23" t="b">
        <f>OR(COUNTIF(P43:P49,"SPOUSE")&gt;1,COUNTIF(P43:P49,"FATHER")&gt;1,COUNTIF(P43:P49,"MOTHER")&gt;1,COUNTIF(P43:P49,"FATHER-IN-LAW")&gt;1,COUNTIF(P43:P49,"MOTHER-IN-LAW")&gt;1)</f>
        <v>0</v>
      </c>
    </row>
    <row r="44" spans="3:46" ht="20.100000000000001" customHeight="1">
      <c r="C44" s="297">
        <v>2</v>
      </c>
      <c r="D44" s="349"/>
      <c r="E44" s="298"/>
      <c r="F44" s="227" t="s">
        <v>1099</v>
      </c>
      <c r="G44" s="224"/>
      <c r="H44" s="224"/>
      <c r="I44" s="224"/>
      <c r="J44" s="224"/>
      <c r="K44" s="224"/>
      <c r="L44" s="224"/>
      <c r="M44" s="224"/>
      <c r="N44" s="224"/>
      <c r="O44" s="225"/>
      <c r="P44" s="227" t="s">
        <v>251</v>
      </c>
      <c r="Q44" s="224"/>
      <c r="R44" s="224"/>
      <c r="S44" s="224"/>
      <c r="T44" s="225"/>
      <c r="U44" s="227">
        <v>15</v>
      </c>
      <c r="V44" s="225"/>
      <c r="W44" s="343" t="s">
        <v>293</v>
      </c>
      <c r="X44" s="320"/>
      <c r="Y44" s="343">
        <v>1980</v>
      </c>
      <c r="Z44" s="320"/>
      <c r="AA44" s="227" t="s">
        <v>1098</v>
      </c>
      <c r="AB44" s="224"/>
      <c r="AC44" s="224"/>
      <c r="AD44" s="225"/>
      <c r="AE44" s="227" t="s">
        <v>827</v>
      </c>
      <c r="AF44" s="224"/>
      <c r="AG44" s="224"/>
      <c r="AH44" s="225"/>
      <c r="AL44" s="23" t="b">
        <f>OR(COUNTIF(P43:P49,"SPOUSE")&gt;1,COUNTIF(P43:P49,"FATHER")&gt;1,COUNTIF(P43:P49,"MOTHER")&gt;1,COUNTIF(P43:P49,"FATHER-IN-LAW")&gt;1,COUNTIF(P43:P49,"MOTHER-IN-LAW")&gt;1)</f>
        <v>0</v>
      </c>
    </row>
    <row r="45" spans="3:46" ht="20.100000000000001" customHeight="1">
      <c r="C45" s="297">
        <v>3</v>
      </c>
      <c r="D45" s="349"/>
      <c r="E45" s="298"/>
      <c r="F45" s="227" t="s">
        <v>1100</v>
      </c>
      <c r="G45" s="224"/>
      <c r="H45" s="224"/>
      <c r="I45" s="224"/>
      <c r="J45" s="224"/>
      <c r="K45" s="224"/>
      <c r="L45" s="224"/>
      <c r="M45" s="224"/>
      <c r="N45" s="224"/>
      <c r="O45" s="225"/>
      <c r="P45" s="227" t="s">
        <v>256</v>
      </c>
      <c r="Q45" s="224"/>
      <c r="R45" s="224"/>
      <c r="S45" s="224"/>
      <c r="T45" s="225"/>
      <c r="U45" s="227">
        <v>4</v>
      </c>
      <c r="V45" s="225"/>
      <c r="W45" s="343" t="s">
        <v>292</v>
      </c>
      <c r="X45" s="320"/>
      <c r="Y45" s="343">
        <v>1994</v>
      </c>
      <c r="Z45" s="320"/>
      <c r="AA45" s="227" t="s">
        <v>1101</v>
      </c>
      <c r="AB45" s="224"/>
      <c r="AC45" s="224"/>
      <c r="AD45" s="225"/>
      <c r="AE45" s="227" t="s">
        <v>827</v>
      </c>
      <c r="AF45" s="224"/>
      <c r="AG45" s="224"/>
      <c r="AH45" s="225"/>
      <c r="AL45" s="23" t="b">
        <f>OR(COUNTIF(P43:P49,"SPOUSE")&gt;1,COUNTIF(P43:P49,"FATHER")&gt;1,COUNTIF(P43:P49,"MOTHER")&gt;1,COUNTIF(P43:P49,"FATHER-IN-LAW")&gt;1,COUNTIF(P43:P49,"MOTHER-IN-LAW")&gt;1)</f>
        <v>0</v>
      </c>
    </row>
    <row r="46" spans="3:46" ht="20.100000000000001" customHeight="1">
      <c r="C46" s="297">
        <v>4</v>
      </c>
      <c r="D46" s="349"/>
      <c r="E46" s="298"/>
      <c r="F46" s="227" t="s">
        <v>1102</v>
      </c>
      <c r="G46" s="224"/>
      <c r="H46" s="224"/>
      <c r="I46" s="224"/>
      <c r="J46" s="224"/>
      <c r="K46" s="224"/>
      <c r="L46" s="224"/>
      <c r="M46" s="224"/>
      <c r="N46" s="224"/>
      <c r="O46" s="225"/>
      <c r="P46" s="227" t="s">
        <v>256</v>
      </c>
      <c r="Q46" s="224"/>
      <c r="R46" s="224"/>
      <c r="S46" s="224"/>
      <c r="T46" s="225"/>
      <c r="U46" s="227">
        <v>10</v>
      </c>
      <c r="V46" s="225"/>
      <c r="W46" s="343" t="s">
        <v>296</v>
      </c>
      <c r="X46" s="320"/>
      <c r="Y46" s="343">
        <v>1996</v>
      </c>
      <c r="Z46" s="320"/>
      <c r="AA46" s="227" t="s">
        <v>1101</v>
      </c>
      <c r="AB46" s="224"/>
      <c r="AC46" s="224"/>
      <c r="AD46" s="225"/>
      <c r="AE46" s="227" t="s">
        <v>827</v>
      </c>
      <c r="AF46" s="224"/>
      <c r="AG46" s="224"/>
      <c r="AH46" s="225"/>
      <c r="AL46" s="23" t="b">
        <f>OR(COUNTIF(P43:P49,"SPOUSE")&gt;1,COUNTIF(P43:P49,"FATHER")&gt;1,COUNTIF(P43:P49,"MOTHER")&gt;1,COUNTIF(P43:P49,"FATHER-IN-LAW")&gt;1,COUNTIF(P43:P49,"MOTHER-IN-LAW")&gt;1)</f>
        <v>0</v>
      </c>
    </row>
    <row r="47" spans="3:46" ht="20.100000000000001" customHeight="1">
      <c r="C47" s="297">
        <v>5</v>
      </c>
      <c r="D47" s="349"/>
      <c r="E47" s="298"/>
      <c r="F47" s="227"/>
      <c r="G47" s="224"/>
      <c r="H47" s="224"/>
      <c r="I47" s="224"/>
      <c r="J47" s="224"/>
      <c r="K47" s="224"/>
      <c r="L47" s="224"/>
      <c r="M47" s="224"/>
      <c r="N47" s="224"/>
      <c r="O47" s="225"/>
      <c r="P47" s="227"/>
      <c r="Q47" s="224"/>
      <c r="R47" s="224"/>
      <c r="S47" s="224"/>
      <c r="T47" s="225"/>
      <c r="U47" s="227"/>
      <c r="V47" s="225"/>
      <c r="W47" s="343"/>
      <c r="X47" s="320"/>
      <c r="Y47" s="343"/>
      <c r="Z47" s="320"/>
      <c r="AA47" s="227"/>
      <c r="AB47" s="224"/>
      <c r="AC47" s="224"/>
      <c r="AD47" s="225"/>
      <c r="AE47" s="227"/>
      <c r="AF47" s="224"/>
      <c r="AG47" s="224"/>
      <c r="AH47" s="225"/>
      <c r="AL47" s="23" t="b">
        <f>OR(COUNTIF(P43:P49,"SPOUSE")&gt;1,COUNTIF(P43:P49,"FATHER")&gt;1,COUNTIF(P43:P49,"MOTHER")&gt;1,COUNTIF(P43:P49,"FATHER-IN-LAW")&gt;1,COUNTIF(P43:P49,"MOTHER-IN-LAW")&gt;1)</f>
        <v>0</v>
      </c>
    </row>
    <row r="48" spans="3:46" ht="20.100000000000001" customHeight="1">
      <c r="C48" s="297">
        <v>6</v>
      </c>
      <c r="D48" s="349"/>
      <c r="E48" s="298"/>
      <c r="F48" s="227"/>
      <c r="G48" s="224"/>
      <c r="H48" s="224"/>
      <c r="I48" s="224"/>
      <c r="J48" s="224"/>
      <c r="K48" s="224"/>
      <c r="L48" s="224"/>
      <c r="M48" s="224"/>
      <c r="N48" s="224"/>
      <c r="O48" s="225"/>
      <c r="P48" s="227"/>
      <c r="Q48" s="224"/>
      <c r="R48" s="224"/>
      <c r="S48" s="224"/>
      <c r="T48" s="225"/>
      <c r="U48" s="227"/>
      <c r="V48" s="225"/>
      <c r="W48" s="343"/>
      <c r="X48" s="320"/>
      <c r="Y48" s="343"/>
      <c r="Z48" s="320"/>
      <c r="AA48" s="227"/>
      <c r="AB48" s="224"/>
      <c r="AC48" s="224"/>
      <c r="AD48" s="225"/>
      <c r="AE48" s="227"/>
      <c r="AF48" s="224"/>
      <c r="AG48" s="224"/>
      <c r="AH48" s="225"/>
      <c r="AL48" s="23" t="b">
        <f>OR(COUNTIF(P43:P49,"SPOUSE")&gt;1,COUNTIF(P43:P49,"FATHER")&gt;1,COUNTIF(P43:P49,"MOTHER")&gt;1,COUNTIF(P43:P49,"FATHER-IN-LAW")&gt;1,COUNTIF(P43:P49,"MOTHER-IN-LAW")&gt;1)</f>
        <v>0</v>
      </c>
    </row>
    <row r="49" spans="3:38" ht="20.100000000000001" customHeight="1">
      <c r="C49" s="297">
        <v>7</v>
      </c>
      <c r="D49" s="349"/>
      <c r="E49" s="298"/>
      <c r="F49" s="227"/>
      <c r="G49" s="224"/>
      <c r="H49" s="224"/>
      <c r="I49" s="224"/>
      <c r="J49" s="224"/>
      <c r="K49" s="224"/>
      <c r="L49" s="224"/>
      <c r="M49" s="224"/>
      <c r="N49" s="224"/>
      <c r="O49" s="225"/>
      <c r="P49" s="227"/>
      <c r="Q49" s="224"/>
      <c r="R49" s="224"/>
      <c r="S49" s="224"/>
      <c r="T49" s="225"/>
      <c r="U49" s="227"/>
      <c r="V49" s="225"/>
      <c r="W49" s="343"/>
      <c r="X49" s="320"/>
      <c r="Y49" s="343"/>
      <c r="Z49" s="320"/>
      <c r="AA49" s="227"/>
      <c r="AB49" s="224"/>
      <c r="AC49" s="224"/>
      <c r="AD49" s="225"/>
      <c r="AE49" s="227"/>
      <c r="AF49" s="224"/>
      <c r="AG49" s="224"/>
      <c r="AH49" s="225"/>
    </row>
    <row r="50" spans="3:38" ht="85.5" customHeight="1">
      <c r="C50" s="381" t="s">
        <v>1067</v>
      </c>
      <c r="D50" s="382"/>
      <c r="E50" s="382"/>
      <c r="F50" s="382"/>
      <c r="G50" s="382"/>
      <c r="H50" s="382"/>
      <c r="I50" s="382"/>
      <c r="J50" s="382"/>
      <c r="K50" s="382"/>
      <c r="L50" s="382"/>
      <c r="M50" s="382"/>
      <c r="N50" s="382"/>
      <c r="O50" s="382"/>
      <c r="P50" s="382"/>
      <c r="Q50" s="382"/>
      <c r="R50" s="382"/>
      <c r="S50" s="382"/>
      <c r="T50" s="382"/>
      <c r="U50" s="382"/>
      <c r="V50" s="382"/>
      <c r="W50" s="382"/>
      <c r="X50" s="382"/>
      <c r="Y50" s="382"/>
      <c r="Z50" s="382"/>
      <c r="AA50" s="382"/>
      <c r="AB50" s="382"/>
      <c r="AC50" s="382"/>
      <c r="AD50" s="382"/>
      <c r="AE50" s="382"/>
      <c r="AF50" s="382"/>
      <c r="AG50" s="382"/>
      <c r="AH50" s="383"/>
    </row>
    <row r="51" spans="3:38" ht="15" customHeight="1"/>
    <row r="52" spans="3:38" ht="15" customHeight="1">
      <c r="C52" s="140" t="s">
        <v>980</v>
      </c>
      <c r="D52" s="141"/>
      <c r="E52" s="141"/>
      <c r="F52" s="141"/>
      <c r="G52" s="141"/>
      <c r="H52" s="141"/>
      <c r="I52" s="141"/>
      <c r="J52" s="141"/>
      <c r="K52" s="141"/>
      <c r="L52" s="141"/>
      <c r="M52" s="141"/>
      <c r="N52" s="141"/>
      <c r="O52" s="141"/>
      <c r="P52" s="141"/>
      <c r="Q52" s="141"/>
      <c r="R52" s="141"/>
      <c r="S52" s="144"/>
      <c r="T52" s="144"/>
      <c r="U52" s="144"/>
      <c r="V52" s="144"/>
      <c r="W52" s="144"/>
      <c r="X52" s="144"/>
      <c r="Y52" s="144"/>
      <c r="Z52" s="144"/>
      <c r="AA52" s="144"/>
      <c r="AB52" s="144"/>
      <c r="AC52" s="144"/>
      <c r="AD52" s="144"/>
      <c r="AE52" s="144"/>
      <c r="AF52" s="144"/>
      <c r="AG52" s="144"/>
      <c r="AH52" s="145"/>
    </row>
    <row r="53" spans="3:38" ht="45" customHeight="1">
      <c r="C53" s="213" t="s">
        <v>133</v>
      </c>
      <c r="D53" s="214"/>
      <c r="E53" s="214"/>
      <c r="F53" s="214"/>
      <c r="G53" s="272"/>
      <c r="H53" s="213" t="s">
        <v>134</v>
      </c>
      <c r="I53" s="317"/>
      <c r="J53" s="317"/>
      <c r="K53" s="317"/>
      <c r="L53" s="317"/>
      <c r="M53" s="318"/>
      <c r="N53" s="213" t="s">
        <v>130</v>
      </c>
      <c r="O53" s="214"/>
      <c r="P53" s="214"/>
      <c r="Q53" s="214"/>
      <c r="R53" s="214"/>
      <c r="S53" s="272"/>
      <c r="T53" s="213" t="s">
        <v>131</v>
      </c>
      <c r="U53" s="214"/>
      <c r="V53" s="214"/>
      <c r="W53" s="214"/>
      <c r="X53" s="214"/>
      <c r="Y53" s="272"/>
      <c r="Z53" s="213" t="s">
        <v>135</v>
      </c>
      <c r="AA53" s="317"/>
      <c r="AB53" s="317"/>
      <c r="AC53" s="317"/>
      <c r="AD53" s="317"/>
      <c r="AE53" s="318"/>
      <c r="AF53" s="213" t="s">
        <v>136</v>
      </c>
      <c r="AG53" s="317"/>
      <c r="AH53" s="318"/>
    </row>
    <row r="54" spans="3:38" ht="30" customHeight="1">
      <c r="C54" s="343" t="s">
        <v>970</v>
      </c>
      <c r="D54" s="320"/>
      <c r="E54" s="227">
        <v>2020</v>
      </c>
      <c r="F54" s="224"/>
      <c r="G54" s="225"/>
      <c r="H54" s="290" t="s">
        <v>1103</v>
      </c>
      <c r="I54" s="291"/>
      <c r="J54" s="291"/>
      <c r="K54" s="291"/>
      <c r="L54" s="291"/>
      <c r="M54" s="292"/>
      <c r="N54" s="290" t="s">
        <v>1104</v>
      </c>
      <c r="O54" s="291"/>
      <c r="P54" s="291"/>
      <c r="Q54" s="291"/>
      <c r="R54" s="291"/>
      <c r="S54" s="292"/>
      <c r="T54" s="290" t="s">
        <v>1105</v>
      </c>
      <c r="U54" s="291"/>
      <c r="V54" s="291"/>
      <c r="W54" s="291"/>
      <c r="X54" s="291"/>
      <c r="Y54" s="292"/>
      <c r="Z54" s="290" t="s">
        <v>1106</v>
      </c>
      <c r="AA54" s="291"/>
      <c r="AB54" s="291"/>
      <c r="AC54" s="291"/>
      <c r="AD54" s="291"/>
      <c r="AE54" s="292"/>
      <c r="AF54" s="335">
        <v>0.65</v>
      </c>
      <c r="AG54" s="336"/>
      <c r="AH54" s="337"/>
    </row>
    <row r="55" spans="3:38" ht="30" customHeight="1">
      <c r="C55" s="343" t="s">
        <v>291</v>
      </c>
      <c r="D55" s="320"/>
      <c r="E55" s="227">
        <v>2016</v>
      </c>
      <c r="F55" s="224"/>
      <c r="G55" s="225"/>
      <c r="H55" s="290" t="s">
        <v>1107</v>
      </c>
      <c r="I55" s="291"/>
      <c r="J55" s="291"/>
      <c r="K55" s="291"/>
      <c r="L55" s="291"/>
      <c r="M55" s="292"/>
      <c r="N55" s="290" t="s">
        <v>1108</v>
      </c>
      <c r="O55" s="291"/>
      <c r="P55" s="291"/>
      <c r="Q55" s="291"/>
      <c r="R55" s="291"/>
      <c r="S55" s="292"/>
      <c r="T55" s="290" t="s">
        <v>1109</v>
      </c>
      <c r="U55" s="291"/>
      <c r="V55" s="291"/>
      <c r="W55" s="291"/>
      <c r="X55" s="291"/>
      <c r="Y55" s="292"/>
      <c r="Z55" s="290" t="s">
        <v>1106</v>
      </c>
      <c r="AA55" s="291"/>
      <c r="AB55" s="291"/>
      <c r="AC55" s="291"/>
      <c r="AD55" s="291"/>
      <c r="AE55" s="292"/>
      <c r="AF55" s="335">
        <v>0.74399999999999999</v>
      </c>
      <c r="AG55" s="336"/>
      <c r="AH55" s="337"/>
    </row>
    <row r="56" spans="3:38" ht="30" customHeight="1">
      <c r="C56" s="343" t="s">
        <v>291</v>
      </c>
      <c r="D56" s="320"/>
      <c r="E56" s="227">
        <v>2014</v>
      </c>
      <c r="F56" s="224"/>
      <c r="G56" s="225"/>
      <c r="H56" s="290" t="s">
        <v>1110</v>
      </c>
      <c r="I56" s="291"/>
      <c r="J56" s="291"/>
      <c r="K56" s="291"/>
      <c r="L56" s="291"/>
      <c r="M56" s="292"/>
      <c r="N56" s="290" t="s">
        <v>1111</v>
      </c>
      <c r="O56" s="291"/>
      <c r="P56" s="291"/>
      <c r="Q56" s="291"/>
      <c r="R56" s="291"/>
      <c r="S56" s="292"/>
      <c r="T56" s="290" t="s">
        <v>1112</v>
      </c>
      <c r="U56" s="291"/>
      <c r="V56" s="291"/>
      <c r="W56" s="291"/>
      <c r="X56" s="291"/>
      <c r="Y56" s="292"/>
      <c r="Z56" s="290" t="s">
        <v>1113</v>
      </c>
      <c r="AA56" s="291"/>
      <c r="AB56" s="291"/>
      <c r="AC56" s="291"/>
      <c r="AD56" s="291"/>
      <c r="AE56" s="292"/>
      <c r="AF56" s="335" t="s">
        <v>1114</v>
      </c>
      <c r="AG56" s="336"/>
      <c r="AH56" s="337"/>
    </row>
    <row r="57" spans="3:38" ht="30" customHeight="1">
      <c r="C57" s="343"/>
      <c r="D57" s="320"/>
      <c r="E57" s="227"/>
      <c r="F57" s="224"/>
      <c r="G57" s="225"/>
      <c r="H57" s="290"/>
      <c r="I57" s="291"/>
      <c r="J57" s="291"/>
      <c r="K57" s="291"/>
      <c r="L57" s="291"/>
      <c r="M57" s="292"/>
      <c r="N57" s="290"/>
      <c r="O57" s="291"/>
      <c r="P57" s="291"/>
      <c r="Q57" s="291"/>
      <c r="R57" s="291"/>
      <c r="S57" s="292"/>
      <c r="T57" s="290"/>
      <c r="U57" s="291"/>
      <c r="V57" s="291"/>
      <c r="W57" s="291"/>
      <c r="X57" s="291"/>
      <c r="Y57" s="292"/>
      <c r="Z57" s="290"/>
      <c r="AA57" s="291"/>
      <c r="AB57" s="291"/>
      <c r="AC57" s="291"/>
      <c r="AD57" s="291"/>
      <c r="AE57" s="292"/>
      <c r="AF57" s="335"/>
      <c r="AG57" s="336"/>
      <c r="AH57" s="337"/>
    </row>
    <row r="58" spans="3:38" ht="30" customHeight="1">
      <c r="C58" s="343"/>
      <c r="D58" s="320"/>
      <c r="E58" s="227"/>
      <c r="F58" s="224"/>
      <c r="G58" s="225"/>
      <c r="H58" s="290"/>
      <c r="I58" s="291"/>
      <c r="J58" s="291"/>
      <c r="K58" s="291"/>
      <c r="L58" s="291"/>
      <c r="M58" s="292"/>
      <c r="N58" s="290"/>
      <c r="O58" s="291"/>
      <c r="P58" s="291"/>
      <c r="Q58" s="291"/>
      <c r="R58" s="291"/>
      <c r="S58" s="292"/>
      <c r="T58" s="290"/>
      <c r="U58" s="291"/>
      <c r="V58" s="291"/>
      <c r="W58" s="291"/>
      <c r="X58" s="291"/>
      <c r="Y58" s="292"/>
      <c r="Z58" s="290"/>
      <c r="AA58" s="291"/>
      <c r="AB58" s="291"/>
      <c r="AC58" s="291"/>
      <c r="AD58" s="291"/>
      <c r="AE58" s="292"/>
      <c r="AF58" s="335"/>
      <c r="AG58" s="336"/>
      <c r="AH58" s="337"/>
    </row>
    <row r="59" spans="3:38" ht="15" customHeight="1"/>
    <row r="60" spans="3:38" ht="15" customHeight="1"/>
    <row r="61" spans="3:38" ht="15" customHeight="1">
      <c r="C61" s="140" t="s">
        <v>140</v>
      </c>
      <c r="D61" s="141"/>
      <c r="E61" s="141"/>
      <c r="F61" s="141"/>
      <c r="G61" s="141"/>
      <c r="H61" s="141"/>
      <c r="I61" s="141"/>
      <c r="J61" s="141"/>
      <c r="K61" s="141"/>
      <c r="L61" s="141"/>
      <c r="M61" s="141"/>
      <c r="N61" s="141"/>
      <c r="O61" s="141"/>
      <c r="P61" s="141"/>
      <c r="Q61" s="141"/>
      <c r="R61" s="141"/>
      <c r="S61" s="141"/>
      <c r="T61" s="142"/>
      <c r="U61" s="142"/>
      <c r="V61" s="142"/>
      <c r="W61" s="142"/>
      <c r="X61" s="142"/>
      <c r="Y61" s="142"/>
      <c r="Z61" s="142"/>
      <c r="AA61" s="142"/>
      <c r="AB61" s="142"/>
      <c r="AC61" s="142"/>
      <c r="AD61" s="142"/>
      <c r="AE61" s="142"/>
      <c r="AF61" s="142"/>
      <c r="AG61" s="142"/>
      <c r="AH61" s="143"/>
    </row>
    <row r="62" spans="3:38" ht="24.75" customHeight="1">
      <c r="C62" s="213" t="s">
        <v>1062</v>
      </c>
      <c r="D62" s="317"/>
      <c r="E62" s="317"/>
      <c r="F62" s="318"/>
      <c r="G62" s="213" t="s">
        <v>1063</v>
      </c>
      <c r="H62" s="317"/>
      <c r="I62" s="317"/>
      <c r="J62" s="318"/>
      <c r="K62" s="316" t="s">
        <v>139</v>
      </c>
      <c r="L62" s="317"/>
      <c r="M62" s="317"/>
      <c r="N62" s="317"/>
      <c r="O62" s="317"/>
      <c r="P62" s="317"/>
      <c r="Q62" s="317"/>
      <c r="R62" s="317"/>
      <c r="S62" s="318"/>
      <c r="T62" s="316" t="s">
        <v>16</v>
      </c>
      <c r="U62" s="317"/>
      <c r="V62" s="317"/>
      <c r="W62" s="317"/>
      <c r="X62" s="317"/>
      <c r="Y62" s="317"/>
      <c r="Z62" s="317"/>
      <c r="AA62" s="318"/>
      <c r="AB62" s="316" t="s">
        <v>17</v>
      </c>
      <c r="AC62" s="317"/>
      <c r="AD62" s="317"/>
      <c r="AE62" s="317"/>
      <c r="AF62" s="317"/>
      <c r="AG62" s="317"/>
      <c r="AH62" s="318"/>
    </row>
    <row r="63" spans="3:38" ht="27" customHeight="1">
      <c r="C63" s="343" t="s">
        <v>294</v>
      </c>
      <c r="D63" s="320"/>
      <c r="E63" s="227">
        <v>2022</v>
      </c>
      <c r="F63" s="225"/>
      <c r="G63" s="343" t="s">
        <v>969</v>
      </c>
      <c r="H63" s="320"/>
      <c r="I63" s="227">
        <v>2022</v>
      </c>
      <c r="J63" s="225"/>
      <c r="K63" s="276" t="s">
        <v>1115</v>
      </c>
      <c r="L63" s="277"/>
      <c r="M63" s="277"/>
      <c r="N63" s="277"/>
      <c r="O63" s="277"/>
      <c r="P63" s="277"/>
      <c r="Q63" s="277"/>
      <c r="R63" s="277"/>
      <c r="S63" s="278"/>
      <c r="T63" s="276" t="s">
        <v>1116</v>
      </c>
      <c r="U63" s="277"/>
      <c r="V63" s="277"/>
      <c r="W63" s="277"/>
      <c r="X63" s="277"/>
      <c r="Y63" s="277"/>
      <c r="Z63" s="277"/>
      <c r="AA63" s="278"/>
      <c r="AB63" s="276" t="s">
        <v>1117</v>
      </c>
      <c r="AC63" s="277"/>
      <c r="AD63" s="277"/>
      <c r="AE63" s="277"/>
      <c r="AF63" s="277"/>
      <c r="AG63" s="277"/>
      <c r="AH63" s="278"/>
      <c r="AL63" s="101" t="b">
        <f t="shared" ref="AL63:AL68" si="0">DATEVALUE(CONCATENATE(C63,"-",E63))&gt;DATEVALUE(CONCATENATE(G63,"-",I63))</f>
        <v>0</v>
      </c>
    </row>
    <row r="64" spans="3:38" ht="27" customHeight="1">
      <c r="C64" s="343" t="s">
        <v>296</v>
      </c>
      <c r="D64" s="320"/>
      <c r="E64" s="227">
        <v>2021</v>
      </c>
      <c r="F64" s="225"/>
      <c r="G64" s="343" t="s">
        <v>292</v>
      </c>
      <c r="H64" s="320"/>
      <c r="I64" s="227">
        <v>2022</v>
      </c>
      <c r="J64" s="225"/>
      <c r="K64" s="276" t="s">
        <v>1118</v>
      </c>
      <c r="L64" s="277"/>
      <c r="M64" s="277"/>
      <c r="N64" s="277"/>
      <c r="O64" s="277"/>
      <c r="P64" s="277"/>
      <c r="Q64" s="277"/>
      <c r="R64" s="277"/>
      <c r="S64" s="278"/>
      <c r="T64" s="276" t="s">
        <v>1119</v>
      </c>
      <c r="U64" s="277"/>
      <c r="V64" s="277"/>
      <c r="W64" s="277"/>
      <c r="X64" s="277"/>
      <c r="Y64" s="277"/>
      <c r="Z64" s="277"/>
      <c r="AA64" s="278"/>
      <c r="AB64" s="276" t="s">
        <v>1117</v>
      </c>
      <c r="AC64" s="277"/>
      <c r="AD64" s="277"/>
      <c r="AE64" s="277"/>
      <c r="AF64" s="277"/>
      <c r="AG64" s="277"/>
      <c r="AH64" s="278"/>
      <c r="AL64" s="101" t="b">
        <f t="shared" si="0"/>
        <v>0</v>
      </c>
    </row>
    <row r="65" spans="3:38" ht="27" customHeight="1">
      <c r="C65" s="343"/>
      <c r="D65" s="320"/>
      <c r="E65" s="227"/>
      <c r="F65" s="225"/>
      <c r="G65" s="343"/>
      <c r="H65" s="320"/>
      <c r="I65" s="227"/>
      <c r="J65" s="225"/>
      <c r="K65" s="276"/>
      <c r="L65" s="277"/>
      <c r="M65" s="277"/>
      <c r="N65" s="277"/>
      <c r="O65" s="277"/>
      <c r="P65" s="277"/>
      <c r="Q65" s="277"/>
      <c r="R65" s="277"/>
      <c r="S65" s="278"/>
      <c r="T65" s="276"/>
      <c r="U65" s="277"/>
      <c r="V65" s="277"/>
      <c r="W65" s="277"/>
      <c r="X65" s="277"/>
      <c r="Y65" s="277"/>
      <c r="Z65" s="277"/>
      <c r="AA65" s="278"/>
      <c r="AB65" s="276"/>
      <c r="AC65" s="277"/>
      <c r="AD65" s="277"/>
      <c r="AE65" s="277"/>
      <c r="AF65" s="277"/>
      <c r="AG65" s="277"/>
      <c r="AH65" s="278"/>
      <c r="AL65" s="101" t="e">
        <f t="shared" si="0"/>
        <v>#VALUE!</v>
      </c>
    </row>
    <row r="66" spans="3:38" ht="27" customHeight="1">
      <c r="C66" s="343"/>
      <c r="D66" s="320"/>
      <c r="E66" s="227"/>
      <c r="F66" s="225"/>
      <c r="G66" s="343"/>
      <c r="H66" s="320"/>
      <c r="I66" s="227"/>
      <c r="J66" s="225"/>
      <c r="K66" s="276"/>
      <c r="L66" s="277"/>
      <c r="M66" s="277"/>
      <c r="N66" s="277"/>
      <c r="O66" s="277"/>
      <c r="P66" s="277"/>
      <c r="Q66" s="277"/>
      <c r="R66" s="277"/>
      <c r="S66" s="278"/>
      <c r="T66" s="276"/>
      <c r="U66" s="277"/>
      <c r="V66" s="277"/>
      <c r="W66" s="277"/>
      <c r="X66" s="277"/>
      <c r="Y66" s="277"/>
      <c r="Z66" s="277"/>
      <c r="AA66" s="278"/>
      <c r="AB66" s="276"/>
      <c r="AC66" s="277"/>
      <c r="AD66" s="277"/>
      <c r="AE66" s="277"/>
      <c r="AF66" s="277"/>
      <c r="AG66" s="277"/>
      <c r="AH66" s="278"/>
      <c r="AL66" s="101" t="e">
        <f t="shared" si="0"/>
        <v>#VALUE!</v>
      </c>
    </row>
    <row r="67" spans="3:38" ht="27" customHeight="1">
      <c r="C67" s="343"/>
      <c r="D67" s="320"/>
      <c r="E67" s="227"/>
      <c r="F67" s="225"/>
      <c r="G67" s="343"/>
      <c r="H67" s="320"/>
      <c r="I67" s="227"/>
      <c r="J67" s="225"/>
      <c r="K67" s="276"/>
      <c r="L67" s="277"/>
      <c r="M67" s="277"/>
      <c r="N67" s="277"/>
      <c r="O67" s="277"/>
      <c r="P67" s="277"/>
      <c r="Q67" s="277"/>
      <c r="R67" s="277"/>
      <c r="S67" s="278"/>
      <c r="T67" s="276"/>
      <c r="U67" s="277"/>
      <c r="V67" s="277"/>
      <c r="W67" s="277"/>
      <c r="X67" s="277"/>
      <c r="Y67" s="277"/>
      <c r="Z67" s="277"/>
      <c r="AA67" s="278"/>
      <c r="AB67" s="276"/>
      <c r="AC67" s="277"/>
      <c r="AD67" s="277"/>
      <c r="AE67" s="277"/>
      <c r="AF67" s="277"/>
      <c r="AG67" s="277"/>
      <c r="AH67" s="278"/>
      <c r="AL67" s="101" t="e">
        <f t="shared" si="0"/>
        <v>#VALUE!</v>
      </c>
    </row>
    <row r="68" spans="3:38" ht="27" customHeight="1">
      <c r="C68" s="343"/>
      <c r="D68" s="320"/>
      <c r="E68" s="227"/>
      <c r="F68" s="225"/>
      <c r="G68" s="343"/>
      <c r="H68" s="320"/>
      <c r="I68" s="227"/>
      <c r="J68" s="225"/>
      <c r="K68" s="276"/>
      <c r="L68" s="277"/>
      <c r="M68" s="277"/>
      <c r="N68" s="277"/>
      <c r="O68" s="277"/>
      <c r="P68" s="277"/>
      <c r="Q68" s="277"/>
      <c r="R68" s="277"/>
      <c r="S68" s="278"/>
      <c r="T68" s="276"/>
      <c r="U68" s="277"/>
      <c r="V68" s="277"/>
      <c r="W68" s="277"/>
      <c r="X68" s="277"/>
      <c r="Y68" s="277"/>
      <c r="Z68" s="277"/>
      <c r="AA68" s="278"/>
      <c r="AB68" s="276"/>
      <c r="AC68" s="277"/>
      <c r="AD68" s="277"/>
      <c r="AE68" s="277"/>
      <c r="AF68" s="277"/>
      <c r="AG68" s="277"/>
      <c r="AH68" s="278"/>
      <c r="AL68" s="101" t="e">
        <f t="shared" si="0"/>
        <v>#VALUE!</v>
      </c>
    </row>
    <row r="69" spans="3:38" ht="9.9499999999999993" customHeight="1"/>
    <row r="70" spans="3:38" s="106" customFormat="1" ht="9.9499999999999993" customHeight="1">
      <c r="R70" s="58">
        <v>2</v>
      </c>
    </row>
    <row r="71" spans="3:38" s="106" customFormat="1" ht="9.9499999999999993" customHeight="1"/>
    <row r="72" spans="3:38" s="106" customFormat="1" ht="9.9499999999999993" customHeight="1"/>
    <row r="73" spans="3:38" s="106" customFormat="1" ht="9.9499999999999993" customHeight="1"/>
    <row r="74" spans="3:38" s="106" customFormat="1" ht="9.9499999999999993" customHeight="1"/>
    <row r="75" spans="3:38" s="106" customFormat="1" ht="9.9499999999999993" customHeight="1"/>
    <row r="76" spans="3:38" s="106" customFormat="1" ht="9.9499999999999993" customHeight="1"/>
    <row r="77" spans="3:38" s="106" customFormat="1" ht="9.9499999999999993" customHeight="1"/>
    <row r="78" spans="3:38" ht="15" customHeight="1">
      <c r="C78" s="138" t="s">
        <v>141</v>
      </c>
      <c r="D78" s="139"/>
      <c r="E78" s="139"/>
      <c r="F78" s="139"/>
      <c r="G78" s="139"/>
      <c r="H78" s="139"/>
      <c r="I78" s="139"/>
      <c r="J78" s="139"/>
      <c r="K78" s="139"/>
      <c r="L78" s="139"/>
      <c r="M78" s="139"/>
      <c r="N78" s="139"/>
      <c r="O78" s="139"/>
      <c r="P78" s="139"/>
      <c r="Q78" s="133"/>
      <c r="R78" s="133"/>
      <c r="S78" s="133"/>
      <c r="T78" s="133"/>
      <c r="U78" s="133"/>
      <c r="V78" s="133"/>
      <c r="W78" s="133"/>
      <c r="X78" s="133"/>
      <c r="Y78" s="133"/>
      <c r="Z78" s="133"/>
      <c r="AA78" s="133"/>
      <c r="AB78" s="133"/>
      <c r="AC78" s="133"/>
      <c r="AD78" s="133"/>
      <c r="AE78" s="133"/>
      <c r="AF78" s="133"/>
      <c r="AG78" s="133"/>
      <c r="AH78" s="134"/>
    </row>
    <row r="79" spans="3:38" ht="15" customHeight="1">
      <c r="C79" s="132"/>
      <c r="D79" s="133"/>
      <c r="E79" s="133"/>
      <c r="F79" s="133"/>
      <c r="G79" s="133"/>
      <c r="H79" s="133"/>
      <c r="I79" s="133"/>
      <c r="J79" s="134"/>
      <c r="K79" s="378" t="s">
        <v>145</v>
      </c>
      <c r="L79" s="379"/>
      <c r="M79" s="379"/>
      <c r="N79" s="379"/>
      <c r="O79" s="379"/>
      <c r="P79" s="379"/>
      <c r="Q79" s="379"/>
      <c r="R79" s="379"/>
      <c r="S79" s="379"/>
      <c r="T79" s="379"/>
      <c r="U79" s="379"/>
      <c r="V79" s="380"/>
      <c r="W79" s="368" t="s">
        <v>146</v>
      </c>
      <c r="X79" s="369"/>
      <c r="Y79" s="369"/>
      <c r="Z79" s="369"/>
      <c r="AA79" s="369"/>
      <c r="AB79" s="369"/>
      <c r="AC79" s="369"/>
      <c r="AD79" s="369"/>
      <c r="AE79" s="369"/>
      <c r="AF79" s="369"/>
      <c r="AG79" s="369"/>
      <c r="AH79" s="370"/>
    </row>
    <row r="80" spans="3:38" s="99" customFormat="1" ht="15" customHeight="1">
      <c r="C80" s="364" t="s">
        <v>142</v>
      </c>
      <c r="D80" s="365"/>
      <c r="E80" s="365"/>
      <c r="F80" s="365"/>
      <c r="G80" s="365"/>
      <c r="H80" s="365"/>
      <c r="I80" s="365"/>
      <c r="J80" s="365"/>
      <c r="K80" s="374" t="str">
        <f>IF(K63="","",K63)</f>
        <v>BHARATHI AIRTEL</v>
      </c>
      <c r="L80" s="375"/>
      <c r="M80" s="375"/>
      <c r="N80" s="375"/>
      <c r="O80" s="375"/>
      <c r="P80" s="375"/>
      <c r="Q80" s="375"/>
      <c r="R80" s="375"/>
      <c r="S80" s="375"/>
      <c r="T80" s="375"/>
      <c r="U80" s="375"/>
      <c r="V80" s="376"/>
      <c r="W80" s="374" t="str">
        <f>IF(K64="","",K64)</f>
        <v>HDFC BANK</v>
      </c>
      <c r="X80" s="375"/>
      <c r="Y80" s="375"/>
      <c r="Z80" s="375"/>
      <c r="AA80" s="375"/>
      <c r="AB80" s="375"/>
      <c r="AC80" s="375"/>
      <c r="AD80" s="375"/>
      <c r="AE80" s="375"/>
      <c r="AF80" s="375"/>
      <c r="AG80" s="375"/>
      <c r="AH80" s="376"/>
    </row>
    <row r="81" spans="3:40" ht="45" customHeight="1">
      <c r="C81" s="366"/>
      <c r="D81" s="367"/>
      <c r="E81" s="367"/>
      <c r="F81" s="367"/>
      <c r="G81" s="367"/>
      <c r="H81" s="367"/>
      <c r="I81" s="367"/>
      <c r="J81" s="367"/>
      <c r="K81" s="361"/>
      <c r="L81" s="362"/>
      <c r="M81" s="362"/>
      <c r="N81" s="362"/>
      <c r="O81" s="362"/>
      <c r="P81" s="362"/>
      <c r="Q81" s="362"/>
      <c r="R81" s="362"/>
      <c r="S81" s="362"/>
      <c r="T81" s="362"/>
      <c r="U81" s="362"/>
      <c r="V81" s="362"/>
      <c r="W81" s="361"/>
      <c r="X81" s="362"/>
      <c r="Y81" s="362"/>
      <c r="Z81" s="362"/>
      <c r="AA81" s="362"/>
      <c r="AB81" s="362"/>
      <c r="AC81" s="362"/>
      <c r="AD81" s="362"/>
      <c r="AE81" s="362"/>
      <c r="AF81" s="362"/>
      <c r="AG81" s="362"/>
      <c r="AH81" s="377"/>
    </row>
    <row r="82" spans="3:40" ht="30" customHeight="1">
      <c r="C82" s="293" t="s">
        <v>18</v>
      </c>
      <c r="D82" s="294"/>
      <c r="E82" s="294"/>
      <c r="F82" s="294"/>
      <c r="G82" s="294"/>
      <c r="H82" s="294"/>
      <c r="I82" s="294"/>
      <c r="J82" s="295"/>
      <c r="K82" s="371"/>
      <c r="L82" s="372"/>
      <c r="M82" s="372"/>
      <c r="N82" s="372"/>
      <c r="O82" s="372"/>
      <c r="P82" s="372"/>
      <c r="Q82" s="372"/>
      <c r="R82" s="372"/>
      <c r="S82" s="372"/>
      <c r="T82" s="372"/>
      <c r="U82" s="372"/>
      <c r="V82" s="373"/>
      <c r="W82" s="371"/>
      <c r="X82" s="372"/>
      <c r="Y82" s="372"/>
      <c r="Z82" s="372"/>
      <c r="AA82" s="372"/>
      <c r="AB82" s="372"/>
      <c r="AC82" s="372"/>
      <c r="AD82" s="372"/>
      <c r="AE82" s="372"/>
      <c r="AF82" s="372"/>
      <c r="AG82" s="372"/>
      <c r="AH82" s="373"/>
    </row>
    <row r="83" spans="3:40" ht="20.100000000000001" customHeight="1">
      <c r="C83" s="293" t="s">
        <v>19</v>
      </c>
      <c r="D83" s="294"/>
      <c r="E83" s="294"/>
      <c r="F83" s="294"/>
      <c r="G83" s="294"/>
      <c r="H83" s="294"/>
      <c r="I83" s="294"/>
      <c r="J83" s="295"/>
      <c r="K83" s="124"/>
      <c r="L83" s="338" t="str">
        <f>IF(C63="","",C63)</f>
        <v>JUN</v>
      </c>
      <c r="M83" s="339"/>
      <c r="N83" s="338">
        <f>IF(E63="","",E63)</f>
        <v>2022</v>
      </c>
      <c r="O83" s="339"/>
      <c r="P83" s="344" t="s">
        <v>144</v>
      </c>
      <c r="Q83" s="345"/>
      <c r="R83" s="124"/>
      <c r="S83" s="338" t="str">
        <f>IF(G63="","",G63)</f>
        <v>NOV</v>
      </c>
      <c r="T83" s="339"/>
      <c r="U83" s="338">
        <f>IF(I63="","",I63)</f>
        <v>2022</v>
      </c>
      <c r="V83" s="339"/>
      <c r="W83" s="124"/>
      <c r="X83" s="338" t="str">
        <f>IF(C64="","",C64)</f>
        <v>SEP</v>
      </c>
      <c r="Y83" s="339"/>
      <c r="Z83" s="338">
        <f>IF(E64="","",E64)</f>
        <v>2021</v>
      </c>
      <c r="AA83" s="339"/>
      <c r="AB83" s="344" t="s">
        <v>144</v>
      </c>
      <c r="AC83" s="345"/>
      <c r="AD83" s="124"/>
      <c r="AE83" s="338" t="str">
        <f>IF(G64="","",G64)</f>
        <v>APR</v>
      </c>
      <c r="AF83" s="339"/>
      <c r="AG83" s="338">
        <f>IF(I64="","",I64)</f>
        <v>2022</v>
      </c>
      <c r="AH83" s="339"/>
      <c r="AL83" s="23" t="e">
        <f>DATEVALUE(CONCATENATE(K83,"-",L83,"-",N83))&gt;DATEVALUE(CONCATENATE(R83,"-",S83,"-",U83))</f>
        <v>#VALUE!</v>
      </c>
      <c r="AM83" s="23" t="e">
        <f>DATEVALUE(CONCATENATE(W83,"-",X83,"-",Z83))&gt;DATEVALUE(CONCATENATE(AD83,"-",AE83,"-",AG83))</f>
        <v>#VALUE!</v>
      </c>
      <c r="AN83" s="23" t="e">
        <f>DATEVALUE(CONCATENATE(AD83,"-",AE83,"-",AG83))&gt;DATEVALUE(CONCATENATE(K83,"-",L83,"-",N83))</f>
        <v>#VALUE!</v>
      </c>
    </row>
    <row r="84" spans="3:40" ht="20.100000000000001" customHeight="1">
      <c r="C84" s="293" t="s">
        <v>143</v>
      </c>
      <c r="D84" s="294"/>
      <c r="E84" s="294"/>
      <c r="F84" s="294"/>
      <c r="G84" s="294"/>
      <c r="H84" s="294"/>
      <c r="I84" s="294"/>
      <c r="J84" s="295"/>
      <c r="K84" s="282" t="s">
        <v>1120</v>
      </c>
      <c r="L84" s="283"/>
      <c r="M84" s="283"/>
      <c r="N84" s="283"/>
      <c r="O84" s="283"/>
      <c r="P84" s="283"/>
      <c r="Q84" s="283"/>
      <c r="R84" s="283"/>
      <c r="S84" s="283"/>
      <c r="T84" s="283"/>
      <c r="U84" s="283"/>
      <c r="V84" s="284"/>
      <c r="W84" s="282" t="s">
        <v>1119</v>
      </c>
      <c r="X84" s="283"/>
      <c r="Y84" s="283"/>
      <c r="Z84" s="283"/>
      <c r="AA84" s="283"/>
      <c r="AB84" s="283"/>
      <c r="AC84" s="283"/>
      <c r="AD84" s="283"/>
      <c r="AE84" s="283"/>
      <c r="AF84" s="283"/>
      <c r="AG84" s="283"/>
      <c r="AH84" s="284"/>
    </row>
    <row r="85" spans="3:40" ht="20.100000000000001" customHeight="1">
      <c r="C85" s="293" t="s">
        <v>20</v>
      </c>
      <c r="D85" s="294"/>
      <c r="E85" s="294"/>
      <c r="F85" s="294"/>
      <c r="G85" s="294"/>
      <c r="H85" s="294"/>
      <c r="I85" s="294"/>
      <c r="J85" s="295"/>
      <c r="K85" s="282">
        <v>22000</v>
      </c>
      <c r="L85" s="283"/>
      <c r="M85" s="283"/>
      <c r="N85" s="283"/>
      <c r="O85" s="283"/>
      <c r="P85" s="283"/>
      <c r="Q85" s="283"/>
      <c r="R85" s="283"/>
      <c r="S85" s="283"/>
      <c r="T85" s="283"/>
      <c r="U85" s="283"/>
      <c r="V85" s="284"/>
      <c r="W85" s="282">
        <v>16000</v>
      </c>
      <c r="X85" s="283"/>
      <c r="Y85" s="283"/>
      <c r="Z85" s="283"/>
      <c r="AA85" s="283"/>
      <c r="AB85" s="283"/>
      <c r="AC85" s="283"/>
      <c r="AD85" s="283"/>
      <c r="AE85" s="283"/>
      <c r="AF85" s="283"/>
      <c r="AG85" s="283"/>
      <c r="AH85" s="284"/>
    </row>
    <row r="86" spans="3:40" s="24" customFormat="1" ht="20.100000000000001" customHeight="1">
      <c r="C86" s="340" t="s">
        <v>307</v>
      </c>
      <c r="D86" s="341"/>
      <c r="E86" s="341"/>
      <c r="F86" s="341"/>
      <c r="G86" s="341"/>
      <c r="H86" s="341"/>
      <c r="I86" s="341"/>
      <c r="J86" s="342"/>
      <c r="K86" s="306" t="s">
        <v>1121</v>
      </c>
      <c r="L86" s="307"/>
      <c r="M86" s="307"/>
      <c r="N86" s="307"/>
      <c r="O86" s="307"/>
      <c r="P86" s="307"/>
      <c r="Q86" s="307"/>
      <c r="R86" s="307"/>
      <c r="S86" s="307"/>
      <c r="T86" s="307"/>
      <c r="U86" s="307"/>
      <c r="V86" s="308"/>
      <c r="W86" s="306" t="s">
        <v>1122</v>
      </c>
      <c r="X86" s="307"/>
      <c r="Y86" s="307"/>
      <c r="Z86" s="307"/>
      <c r="AA86" s="307"/>
      <c r="AB86" s="307"/>
      <c r="AC86" s="307"/>
      <c r="AD86" s="307"/>
      <c r="AE86" s="307"/>
      <c r="AF86" s="307"/>
      <c r="AG86" s="307"/>
      <c r="AH86" s="308"/>
    </row>
    <row r="87" spans="3:40" ht="20.100000000000001" customHeight="1">
      <c r="C87" s="340" t="s">
        <v>335</v>
      </c>
      <c r="D87" s="341"/>
      <c r="E87" s="341"/>
      <c r="F87" s="341"/>
      <c r="G87" s="341"/>
      <c r="H87" s="341"/>
      <c r="I87" s="341"/>
      <c r="J87" s="342"/>
      <c r="K87" s="306">
        <v>9063638579</v>
      </c>
      <c r="L87" s="307"/>
      <c r="M87" s="307"/>
      <c r="N87" s="307"/>
      <c r="O87" s="307"/>
      <c r="P87" s="307"/>
      <c r="Q87" s="307"/>
      <c r="R87" s="307"/>
      <c r="S87" s="307"/>
      <c r="T87" s="307"/>
      <c r="U87" s="307"/>
      <c r="V87" s="308"/>
      <c r="W87" s="306">
        <v>9959947367</v>
      </c>
      <c r="X87" s="307"/>
      <c r="Y87" s="307"/>
      <c r="Z87" s="307"/>
      <c r="AA87" s="307"/>
      <c r="AB87" s="307"/>
      <c r="AC87" s="307"/>
      <c r="AD87" s="307"/>
      <c r="AE87" s="307"/>
      <c r="AF87" s="307"/>
      <c r="AG87" s="307"/>
      <c r="AH87" s="308"/>
    </row>
    <row r="88" spans="3:40" ht="20.100000000000001" customHeight="1">
      <c r="C88" s="293" t="s">
        <v>95</v>
      </c>
      <c r="D88" s="294"/>
      <c r="E88" s="294"/>
      <c r="F88" s="294"/>
      <c r="G88" s="294"/>
      <c r="H88" s="294"/>
      <c r="I88" s="294"/>
      <c r="J88" s="295"/>
      <c r="K88" s="282" t="s">
        <v>1117</v>
      </c>
      <c r="L88" s="283"/>
      <c r="M88" s="283"/>
      <c r="N88" s="283"/>
      <c r="O88" s="283"/>
      <c r="P88" s="283"/>
      <c r="Q88" s="283"/>
      <c r="R88" s="283"/>
      <c r="S88" s="283"/>
      <c r="T88" s="283"/>
      <c r="U88" s="283"/>
      <c r="V88" s="284"/>
      <c r="W88" s="282" t="s">
        <v>1117</v>
      </c>
      <c r="X88" s="283"/>
      <c r="Y88" s="283"/>
      <c r="Z88" s="283"/>
      <c r="AA88" s="283"/>
      <c r="AB88" s="283"/>
      <c r="AC88" s="283"/>
      <c r="AD88" s="283"/>
      <c r="AE88" s="283"/>
      <c r="AF88" s="283"/>
      <c r="AG88" s="283"/>
      <c r="AH88" s="284"/>
    </row>
    <row r="89" spans="3:40" ht="20.100000000000001" customHeight="1">
      <c r="C89" s="293" t="s">
        <v>21</v>
      </c>
      <c r="D89" s="294"/>
      <c r="E89" s="294"/>
      <c r="F89" s="294"/>
      <c r="G89" s="294"/>
      <c r="H89" s="294"/>
      <c r="I89" s="294"/>
      <c r="J89" s="295"/>
      <c r="K89" s="282" t="s">
        <v>1123</v>
      </c>
      <c r="L89" s="283"/>
      <c r="M89" s="283"/>
      <c r="N89" s="283"/>
      <c r="O89" s="283"/>
      <c r="P89" s="283"/>
      <c r="Q89" s="283"/>
      <c r="R89" s="283"/>
      <c r="S89" s="283"/>
      <c r="T89" s="283"/>
      <c r="U89" s="283"/>
      <c r="V89" s="284"/>
      <c r="W89" s="282"/>
      <c r="X89" s="283"/>
      <c r="Y89" s="283"/>
      <c r="Z89" s="283"/>
      <c r="AA89" s="283"/>
      <c r="AB89" s="283"/>
      <c r="AC89" s="283"/>
      <c r="AD89" s="283"/>
      <c r="AE89" s="283"/>
      <c r="AF89" s="283"/>
      <c r="AG89" s="283"/>
      <c r="AH89" s="284"/>
    </row>
    <row r="90" spans="3:40" s="103" customFormat="1" ht="20.100000000000001" customHeight="1">
      <c r="C90" s="293" t="s">
        <v>799</v>
      </c>
      <c r="D90" s="294"/>
      <c r="E90" s="294"/>
      <c r="F90" s="294"/>
      <c r="G90" s="294"/>
      <c r="H90" s="294"/>
      <c r="I90" s="294"/>
      <c r="J90" s="295"/>
      <c r="K90" s="282"/>
      <c r="L90" s="283"/>
      <c r="M90" s="283"/>
      <c r="N90" s="283"/>
      <c r="O90" s="283"/>
      <c r="P90" s="283"/>
      <c r="Q90" s="283"/>
      <c r="R90" s="283"/>
      <c r="S90" s="283"/>
      <c r="T90" s="283"/>
      <c r="U90" s="283"/>
      <c r="V90" s="284"/>
      <c r="W90" s="282"/>
      <c r="X90" s="283"/>
      <c r="Y90" s="283"/>
      <c r="Z90" s="283"/>
      <c r="AA90" s="283"/>
      <c r="AB90" s="283"/>
      <c r="AC90" s="283"/>
      <c r="AD90" s="283"/>
      <c r="AE90" s="283"/>
      <c r="AF90" s="283"/>
      <c r="AG90" s="283"/>
      <c r="AH90" s="284"/>
    </row>
    <row r="91" spans="3:40" s="103" customFormat="1" ht="20.100000000000001" customHeight="1">
      <c r="C91" s="293" t="s">
        <v>800</v>
      </c>
      <c r="D91" s="294"/>
      <c r="E91" s="294"/>
      <c r="F91" s="294"/>
      <c r="G91" s="294"/>
      <c r="H91" s="294"/>
      <c r="I91" s="294"/>
      <c r="J91" s="295"/>
      <c r="K91" s="282"/>
      <c r="L91" s="283"/>
      <c r="M91" s="283"/>
      <c r="N91" s="283"/>
      <c r="O91" s="283"/>
      <c r="P91" s="283"/>
      <c r="Q91" s="283"/>
      <c r="R91" s="283"/>
      <c r="S91" s="283"/>
      <c r="T91" s="283"/>
      <c r="U91" s="283"/>
      <c r="V91" s="284"/>
      <c r="W91" s="282"/>
      <c r="X91" s="283"/>
      <c r="Y91" s="283"/>
      <c r="Z91" s="283"/>
      <c r="AA91" s="283"/>
      <c r="AB91" s="283"/>
      <c r="AC91" s="283"/>
      <c r="AD91" s="283"/>
      <c r="AE91" s="283"/>
      <c r="AF91" s="283"/>
      <c r="AG91" s="283"/>
      <c r="AH91" s="284"/>
    </row>
    <row r="92" spans="3:40" ht="9.9499999999999993" customHeight="1"/>
    <row r="93" spans="3:40" ht="15" customHeight="1">
      <c r="C93" s="285" t="s">
        <v>945</v>
      </c>
      <c r="D93" s="286"/>
      <c r="E93" s="286"/>
      <c r="F93" s="286"/>
      <c r="G93" s="286"/>
      <c r="H93" s="286"/>
      <c r="I93" s="286"/>
      <c r="J93" s="286"/>
      <c r="K93" s="286"/>
      <c r="L93" s="286"/>
      <c r="M93" s="286"/>
      <c r="N93" s="286"/>
      <c r="O93" s="286"/>
      <c r="P93" s="286"/>
      <c r="Q93" s="286"/>
      <c r="R93" s="286"/>
      <c r="S93" s="286"/>
      <c r="T93" s="286"/>
      <c r="U93" s="286"/>
      <c r="V93" s="286"/>
      <c r="W93" s="286"/>
      <c r="X93" s="286"/>
      <c r="Y93" s="286"/>
      <c r="Z93" s="286"/>
      <c r="AA93" s="286"/>
      <c r="AB93" s="286"/>
      <c r="AC93" s="286"/>
      <c r="AD93" s="286"/>
      <c r="AE93" s="286"/>
      <c r="AF93" s="286"/>
      <c r="AG93" s="286"/>
      <c r="AH93" s="135"/>
    </row>
    <row r="94" spans="3:40" ht="21.75" customHeight="1">
      <c r="C94" s="136"/>
      <c r="D94" s="137"/>
      <c r="E94" s="137"/>
      <c r="F94" s="137"/>
      <c r="G94" s="137"/>
      <c r="H94" s="137"/>
      <c r="I94" s="137"/>
      <c r="J94" s="137"/>
      <c r="K94" s="316" t="s">
        <v>152</v>
      </c>
      <c r="L94" s="317"/>
      <c r="M94" s="317"/>
      <c r="N94" s="317"/>
      <c r="O94" s="317"/>
      <c r="P94" s="317"/>
      <c r="Q94" s="317"/>
      <c r="R94" s="317"/>
      <c r="S94" s="317"/>
      <c r="T94" s="317"/>
      <c r="U94" s="317"/>
      <c r="V94" s="318"/>
      <c r="W94" s="316" t="s">
        <v>153</v>
      </c>
      <c r="X94" s="317"/>
      <c r="Y94" s="317"/>
      <c r="Z94" s="317"/>
      <c r="AA94" s="317"/>
      <c r="AB94" s="317"/>
      <c r="AC94" s="317"/>
      <c r="AD94" s="317"/>
      <c r="AE94" s="317"/>
      <c r="AF94" s="317"/>
      <c r="AG94" s="317"/>
      <c r="AH94" s="318"/>
    </row>
    <row r="95" spans="3:40" ht="20.100000000000001" customHeight="1">
      <c r="C95" s="363" t="s">
        <v>96</v>
      </c>
      <c r="D95" s="231"/>
      <c r="E95" s="231"/>
      <c r="F95" s="231"/>
      <c r="G95" s="231"/>
      <c r="H95" s="231"/>
      <c r="I95" s="231"/>
      <c r="J95" s="231"/>
      <c r="K95" s="282" t="s">
        <v>1124</v>
      </c>
      <c r="L95" s="283"/>
      <c r="M95" s="283"/>
      <c r="N95" s="283"/>
      <c r="O95" s="283"/>
      <c r="P95" s="283"/>
      <c r="Q95" s="283"/>
      <c r="R95" s="283"/>
      <c r="S95" s="283"/>
      <c r="T95" s="283"/>
      <c r="U95" s="283"/>
      <c r="V95" s="284"/>
      <c r="W95" s="282"/>
      <c r="X95" s="283"/>
      <c r="Y95" s="283"/>
      <c r="Z95" s="283"/>
      <c r="AA95" s="283"/>
      <c r="AB95" s="283"/>
      <c r="AC95" s="283"/>
      <c r="AD95" s="283"/>
      <c r="AE95" s="283"/>
      <c r="AF95" s="283"/>
      <c r="AG95" s="283"/>
      <c r="AH95" s="284"/>
    </row>
    <row r="96" spans="3:40" ht="20.100000000000001" customHeight="1">
      <c r="C96" s="312" t="s">
        <v>147</v>
      </c>
      <c r="D96" s="313"/>
      <c r="E96" s="313"/>
      <c r="F96" s="313"/>
      <c r="G96" s="313"/>
      <c r="H96" s="313"/>
      <c r="I96" s="313"/>
      <c r="J96" s="313"/>
      <c r="K96" s="282" t="s">
        <v>1119</v>
      </c>
      <c r="L96" s="283"/>
      <c r="M96" s="283"/>
      <c r="N96" s="283"/>
      <c r="O96" s="283"/>
      <c r="P96" s="283"/>
      <c r="Q96" s="283"/>
      <c r="R96" s="283"/>
      <c r="S96" s="283"/>
      <c r="T96" s="283"/>
      <c r="U96" s="283"/>
      <c r="V96" s="284"/>
      <c r="W96" s="282"/>
      <c r="X96" s="283"/>
      <c r="Y96" s="283"/>
      <c r="Z96" s="283"/>
      <c r="AA96" s="283"/>
      <c r="AB96" s="283"/>
      <c r="AC96" s="283"/>
      <c r="AD96" s="283"/>
      <c r="AE96" s="283"/>
      <c r="AF96" s="283"/>
      <c r="AG96" s="283"/>
      <c r="AH96" s="284"/>
    </row>
    <row r="97" spans="3:34" ht="30" customHeight="1">
      <c r="C97" s="280" t="s">
        <v>151</v>
      </c>
      <c r="D97" s="281"/>
      <c r="E97" s="281"/>
      <c r="F97" s="281"/>
      <c r="G97" s="281"/>
      <c r="H97" s="281"/>
      <c r="I97" s="281"/>
      <c r="J97" s="281"/>
      <c r="K97" s="306" t="s">
        <v>1118</v>
      </c>
      <c r="L97" s="307"/>
      <c r="M97" s="307"/>
      <c r="N97" s="307"/>
      <c r="O97" s="307"/>
      <c r="P97" s="307"/>
      <c r="Q97" s="307"/>
      <c r="R97" s="307"/>
      <c r="S97" s="307"/>
      <c r="T97" s="307"/>
      <c r="U97" s="307"/>
      <c r="V97" s="308"/>
      <c r="W97" s="306"/>
      <c r="X97" s="307"/>
      <c r="Y97" s="307"/>
      <c r="Z97" s="307"/>
      <c r="AA97" s="307"/>
      <c r="AB97" s="307"/>
      <c r="AC97" s="307"/>
      <c r="AD97" s="307"/>
      <c r="AE97" s="307"/>
      <c r="AF97" s="307"/>
      <c r="AG97" s="307"/>
      <c r="AH97" s="308"/>
    </row>
    <row r="98" spans="3:34" ht="20.100000000000001" customHeight="1">
      <c r="C98" s="312" t="s">
        <v>148</v>
      </c>
      <c r="D98" s="313"/>
      <c r="E98" s="313"/>
      <c r="F98" s="313"/>
      <c r="G98" s="313"/>
      <c r="H98" s="313"/>
      <c r="I98" s="313"/>
      <c r="J98" s="313"/>
      <c r="K98" s="309"/>
      <c r="L98" s="310"/>
      <c r="M98" s="310"/>
      <c r="N98" s="310"/>
      <c r="O98" s="310"/>
      <c r="P98" s="310"/>
      <c r="Q98" s="310"/>
      <c r="R98" s="310"/>
      <c r="S98" s="310"/>
      <c r="T98" s="310"/>
      <c r="U98" s="310"/>
      <c r="V98" s="311"/>
      <c r="W98" s="309"/>
      <c r="X98" s="310"/>
      <c r="Y98" s="310"/>
      <c r="Z98" s="310"/>
      <c r="AA98" s="310"/>
      <c r="AB98" s="310"/>
      <c r="AC98" s="310"/>
      <c r="AD98" s="310"/>
      <c r="AE98" s="310"/>
      <c r="AF98" s="310"/>
      <c r="AG98" s="310"/>
      <c r="AH98" s="311"/>
    </row>
    <row r="99" spans="3:34" ht="20.100000000000001" customHeight="1">
      <c r="C99" s="312" t="s">
        <v>22</v>
      </c>
      <c r="D99" s="313"/>
      <c r="E99" s="313"/>
      <c r="F99" s="313"/>
      <c r="G99" s="313"/>
      <c r="H99" s="313"/>
      <c r="I99" s="313"/>
      <c r="J99" s="314"/>
      <c r="K99" s="282">
        <v>9701029625</v>
      </c>
      <c r="L99" s="283"/>
      <c r="M99" s="283"/>
      <c r="N99" s="283"/>
      <c r="O99" s="283"/>
      <c r="P99" s="283"/>
      <c r="Q99" s="283"/>
      <c r="R99" s="283"/>
      <c r="S99" s="283"/>
      <c r="T99" s="283"/>
      <c r="U99" s="283"/>
      <c r="V99" s="284"/>
      <c r="W99" s="282"/>
      <c r="X99" s="283"/>
      <c r="Y99" s="283"/>
      <c r="Z99" s="283"/>
      <c r="AA99" s="283"/>
      <c r="AB99" s="283"/>
      <c r="AC99" s="283"/>
      <c r="AD99" s="283"/>
      <c r="AE99" s="283"/>
      <c r="AF99" s="283"/>
      <c r="AG99" s="283"/>
      <c r="AH99" s="284"/>
    </row>
    <row r="100" spans="3:34" ht="30" customHeight="1">
      <c r="C100" s="280" t="s">
        <v>149</v>
      </c>
      <c r="D100" s="281"/>
      <c r="E100" s="281"/>
      <c r="F100" s="281"/>
      <c r="G100" s="281"/>
      <c r="H100" s="281"/>
      <c r="I100" s="281"/>
      <c r="J100" s="281"/>
      <c r="K100" s="282"/>
      <c r="L100" s="283"/>
      <c r="M100" s="283"/>
      <c r="N100" s="283"/>
      <c r="O100" s="283"/>
      <c r="P100" s="283"/>
      <c r="Q100" s="283"/>
      <c r="R100" s="283"/>
      <c r="S100" s="283"/>
      <c r="T100" s="283"/>
      <c r="U100" s="283"/>
      <c r="V100" s="284"/>
      <c r="W100" s="282"/>
      <c r="X100" s="283"/>
      <c r="Y100" s="283"/>
      <c r="Z100" s="283"/>
      <c r="AA100" s="283"/>
      <c r="AB100" s="283"/>
      <c r="AC100" s="283"/>
      <c r="AD100" s="283"/>
      <c r="AE100" s="283"/>
      <c r="AF100" s="283"/>
      <c r="AG100" s="283"/>
      <c r="AH100" s="284"/>
    </row>
    <row r="101" spans="3:34" ht="30" customHeight="1">
      <c r="C101" s="280" t="s">
        <v>150</v>
      </c>
      <c r="D101" s="281"/>
      <c r="E101" s="281"/>
      <c r="F101" s="281"/>
      <c r="G101" s="281"/>
      <c r="H101" s="281"/>
      <c r="I101" s="281"/>
      <c r="J101" s="315"/>
      <c r="K101" s="282"/>
      <c r="L101" s="283"/>
      <c r="M101" s="283"/>
      <c r="N101" s="283"/>
      <c r="O101" s="283"/>
      <c r="P101" s="283"/>
      <c r="Q101" s="283"/>
      <c r="R101" s="283"/>
      <c r="S101" s="283"/>
      <c r="T101" s="283"/>
      <c r="U101" s="283"/>
      <c r="V101" s="284"/>
      <c r="W101" s="282"/>
      <c r="X101" s="283"/>
      <c r="Y101" s="283"/>
      <c r="Z101" s="283"/>
      <c r="AA101" s="283"/>
      <c r="AB101" s="283"/>
      <c r="AC101" s="283"/>
      <c r="AD101" s="283"/>
      <c r="AE101" s="283"/>
      <c r="AF101" s="283"/>
      <c r="AG101" s="283"/>
      <c r="AH101" s="284"/>
    </row>
    <row r="102" spans="3:34" ht="15" customHeight="1"/>
    <row r="103" spans="3:34" s="106" customFormat="1" ht="15" customHeight="1"/>
    <row r="104" spans="3:34" s="106" customFormat="1" ht="15" customHeight="1">
      <c r="C104" s="324" t="s">
        <v>332</v>
      </c>
      <c r="D104" s="325"/>
      <c r="E104" s="325"/>
      <c r="F104" s="325"/>
      <c r="G104" s="325"/>
      <c r="H104" s="325"/>
      <c r="I104" s="325"/>
      <c r="J104" s="325"/>
      <c r="K104" s="325"/>
      <c r="L104" s="325"/>
      <c r="M104" s="325"/>
      <c r="N104" s="325"/>
      <c r="O104" s="325"/>
      <c r="P104" s="325"/>
      <c r="Q104" s="325"/>
      <c r="R104" s="325"/>
      <c r="S104" s="325"/>
      <c r="T104" s="325"/>
      <c r="U104" s="325"/>
      <c r="V104" s="325"/>
      <c r="W104" s="325"/>
      <c r="X104" s="325"/>
      <c r="Y104" s="325"/>
      <c r="Z104" s="325"/>
      <c r="AA104" s="325"/>
      <c r="AB104" s="325"/>
      <c r="AC104" s="325"/>
      <c r="AD104" s="325"/>
      <c r="AE104" s="325"/>
      <c r="AF104" s="325"/>
      <c r="AG104" s="325"/>
      <c r="AH104" s="326"/>
    </row>
    <row r="105" spans="3:34" s="106" customFormat="1" ht="15" customHeight="1">
      <c r="E105" s="28"/>
      <c r="F105" s="28"/>
      <c r="G105" s="28"/>
      <c r="H105" s="28"/>
      <c r="I105" s="29"/>
      <c r="J105" s="29"/>
      <c r="K105" s="29"/>
      <c r="L105" s="29"/>
      <c r="M105" s="30"/>
      <c r="N105" s="30"/>
      <c r="O105" s="30"/>
      <c r="P105" s="30"/>
      <c r="Q105" s="88"/>
      <c r="R105" s="30"/>
      <c r="S105" s="30"/>
      <c r="T105" s="30"/>
    </row>
    <row r="106" spans="3:34" s="106" customFormat="1" ht="15" customHeight="1">
      <c r="C106" s="327" t="s">
        <v>1065</v>
      </c>
      <c r="D106" s="328"/>
      <c r="E106" s="328"/>
      <c r="F106" s="328"/>
      <c r="G106" s="328"/>
      <c r="H106" s="328"/>
      <c r="I106" s="328"/>
      <c r="J106" s="328"/>
      <c r="K106" s="328"/>
      <c r="L106" s="328"/>
      <c r="M106" s="328"/>
      <c r="N106" s="328"/>
      <c r="O106" s="328"/>
      <c r="P106" s="328"/>
      <c r="Q106" s="328"/>
      <c r="R106" s="328"/>
      <c r="S106" s="328"/>
      <c r="T106" s="328"/>
      <c r="U106" s="328"/>
      <c r="V106" s="328"/>
      <c r="W106" s="328"/>
      <c r="X106" s="328"/>
      <c r="Y106" s="328"/>
      <c r="Z106" s="328"/>
      <c r="AA106" s="328"/>
      <c r="AB106" s="328"/>
      <c r="AC106" s="328"/>
      <c r="AD106" s="328"/>
      <c r="AE106" s="328"/>
      <c r="AF106" s="328"/>
      <c r="AG106" s="328"/>
      <c r="AH106" s="329"/>
    </row>
    <row r="107" spans="3:34" s="106" customFormat="1" ht="15" customHeight="1">
      <c r="C107" s="254"/>
      <c r="D107" s="255"/>
      <c r="E107" s="255"/>
      <c r="F107" s="255"/>
      <c r="G107" s="255"/>
      <c r="H107" s="255"/>
      <c r="I107" s="255"/>
      <c r="J107" s="255"/>
      <c r="K107" s="255"/>
      <c r="L107" s="255"/>
      <c r="M107" s="255"/>
      <c r="N107" s="255"/>
      <c r="O107" s="255"/>
      <c r="P107" s="255"/>
      <c r="Q107" s="255"/>
      <c r="R107" s="255"/>
      <c r="S107" s="255"/>
      <c r="T107" s="255"/>
      <c r="U107" s="255"/>
      <c r="V107" s="255"/>
      <c r="W107" s="255"/>
      <c r="X107" s="255"/>
      <c r="Y107" s="255"/>
      <c r="Z107" s="255"/>
      <c r="AA107" s="255"/>
      <c r="AB107" s="255"/>
      <c r="AC107" s="255"/>
      <c r="AD107" s="255"/>
      <c r="AE107" s="255"/>
      <c r="AF107" s="255"/>
      <c r="AG107" s="255"/>
      <c r="AH107" s="256"/>
    </row>
    <row r="108" spans="3:34" s="106" customFormat="1" ht="15" customHeight="1">
      <c r="C108" s="254"/>
      <c r="D108" s="255"/>
      <c r="E108" s="255"/>
      <c r="F108" s="255"/>
      <c r="G108" s="255"/>
      <c r="H108" s="255"/>
      <c r="I108" s="255"/>
      <c r="J108" s="255"/>
      <c r="K108" s="255"/>
      <c r="L108" s="255"/>
      <c r="M108" s="255"/>
      <c r="N108" s="255"/>
      <c r="O108" s="255"/>
      <c r="P108" s="255"/>
      <c r="Q108" s="255"/>
      <c r="R108" s="255"/>
      <c r="S108" s="255"/>
      <c r="T108" s="255"/>
      <c r="U108" s="255"/>
      <c r="V108" s="255"/>
      <c r="W108" s="255"/>
      <c r="X108" s="255"/>
      <c r="Y108" s="255"/>
      <c r="Z108" s="255"/>
      <c r="AA108" s="255"/>
      <c r="AB108" s="255"/>
      <c r="AC108" s="255"/>
      <c r="AD108" s="255"/>
      <c r="AE108" s="255"/>
      <c r="AF108" s="255"/>
      <c r="AG108" s="255"/>
      <c r="AH108" s="256"/>
    </row>
    <row r="109" spans="3:34" s="106" customFormat="1" ht="15" customHeight="1">
      <c r="C109" s="254"/>
      <c r="D109" s="255"/>
      <c r="E109" s="255"/>
      <c r="F109" s="255"/>
      <c r="G109" s="255"/>
      <c r="H109" s="255"/>
      <c r="I109" s="255"/>
      <c r="J109" s="255"/>
      <c r="K109" s="255"/>
      <c r="L109" s="255"/>
      <c r="M109" s="255"/>
      <c r="N109" s="255"/>
      <c r="O109" s="255"/>
      <c r="P109" s="255"/>
      <c r="Q109" s="255"/>
      <c r="R109" s="255"/>
      <c r="S109" s="255"/>
      <c r="T109" s="255"/>
      <c r="U109" s="255"/>
      <c r="V109" s="255"/>
      <c r="W109" s="255"/>
      <c r="X109" s="255"/>
      <c r="Y109" s="255"/>
      <c r="Z109" s="255"/>
      <c r="AA109" s="255"/>
      <c r="AB109" s="255"/>
      <c r="AC109" s="255"/>
      <c r="AD109" s="255"/>
      <c r="AE109" s="255"/>
      <c r="AF109" s="255"/>
      <c r="AG109" s="255"/>
      <c r="AH109" s="256"/>
    </row>
    <row r="110" spans="3:34" s="106" customFormat="1" ht="15" customHeight="1">
      <c r="C110" s="254"/>
      <c r="D110" s="255"/>
      <c r="E110" s="255"/>
      <c r="F110" s="255"/>
      <c r="G110" s="255"/>
      <c r="H110" s="255"/>
      <c r="I110" s="255"/>
      <c r="J110" s="255"/>
      <c r="K110" s="255"/>
      <c r="L110" s="255"/>
      <c r="M110" s="255"/>
      <c r="N110" s="255"/>
      <c r="O110" s="255"/>
      <c r="P110" s="255"/>
      <c r="Q110" s="255"/>
      <c r="R110" s="255"/>
      <c r="S110" s="255"/>
      <c r="T110" s="255"/>
      <c r="U110" s="255"/>
      <c r="V110" s="255"/>
      <c r="W110" s="255"/>
      <c r="X110" s="255"/>
      <c r="Y110" s="255"/>
      <c r="Z110" s="255"/>
      <c r="AA110" s="255"/>
      <c r="AB110" s="255"/>
      <c r="AC110" s="255"/>
      <c r="AD110" s="255"/>
      <c r="AE110" s="255"/>
      <c r="AF110" s="255"/>
      <c r="AG110" s="255"/>
      <c r="AH110" s="256"/>
    </row>
    <row r="111" spans="3:34" s="106" customFormat="1" ht="7.5" customHeight="1">
      <c r="C111" s="77"/>
      <c r="D111" s="7"/>
      <c r="E111" s="7"/>
      <c r="F111" s="7"/>
      <c r="G111" s="7"/>
      <c r="H111" s="7"/>
      <c r="I111" s="7"/>
      <c r="J111" s="7"/>
      <c r="K111" s="7"/>
      <c r="L111" s="7"/>
      <c r="M111" s="7"/>
      <c r="N111" s="7"/>
      <c r="O111" s="7"/>
      <c r="P111" s="7"/>
      <c r="Q111" s="7"/>
      <c r="R111" s="7"/>
      <c r="S111" s="7"/>
      <c r="T111" s="7"/>
      <c r="U111" s="13"/>
      <c r="V111" s="13"/>
      <c r="W111" s="13"/>
      <c r="X111" s="13"/>
      <c r="Y111" s="13"/>
      <c r="Z111" s="13"/>
      <c r="AA111" s="13"/>
      <c r="AB111" s="13"/>
      <c r="AC111" s="13"/>
      <c r="AD111" s="13"/>
      <c r="AE111" s="13"/>
      <c r="AF111" s="13"/>
      <c r="AG111" s="13"/>
      <c r="AH111" s="34"/>
    </row>
    <row r="112" spans="3:34" s="106" customFormat="1" ht="15" customHeight="1">
      <c r="C112" s="254" t="s">
        <v>1066</v>
      </c>
      <c r="D112" s="255"/>
      <c r="E112" s="255"/>
      <c r="F112" s="255"/>
      <c r="G112" s="255"/>
      <c r="H112" s="255"/>
      <c r="I112" s="255"/>
      <c r="J112" s="255"/>
      <c r="K112" s="255"/>
      <c r="L112" s="255"/>
      <c r="M112" s="255"/>
      <c r="N112" s="255"/>
      <c r="O112" s="255"/>
      <c r="P112" s="255"/>
      <c r="Q112" s="255"/>
      <c r="R112" s="255"/>
      <c r="S112" s="255"/>
      <c r="T112" s="255"/>
      <c r="U112" s="255"/>
      <c r="V112" s="255"/>
      <c r="W112" s="255"/>
      <c r="X112" s="255"/>
      <c r="Y112" s="255"/>
      <c r="Z112" s="255"/>
      <c r="AA112" s="255"/>
      <c r="AB112" s="255"/>
      <c r="AC112" s="255"/>
      <c r="AD112" s="255"/>
      <c r="AE112" s="255"/>
      <c r="AF112" s="255"/>
      <c r="AG112" s="255"/>
      <c r="AH112" s="256"/>
    </row>
    <row r="113" spans="3:41" s="106" customFormat="1" ht="15" customHeight="1">
      <c r="C113" s="254"/>
      <c r="D113" s="255"/>
      <c r="E113" s="255"/>
      <c r="F113" s="255"/>
      <c r="G113" s="255"/>
      <c r="H113" s="255"/>
      <c r="I113" s="255"/>
      <c r="J113" s="255"/>
      <c r="K113" s="255"/>
      <c r="L113" s="255"/>
      <c r="M113" s="255"/>
      <c r="N113" s="255"/>
      <c r="O113" s="255"/>
      <c r="P113" s="255"/>
      <c r="Q113" s="255"/>
      <c r="R113" s="255"/>
      <c r="S113" s="255"/>
      <c r="T113" s="255"/>
      <c r="U113" s="255"/>
      <c r="V113" s="255"/>
      <c r="W113" s="255"/>
      <c r="X113" s="255"/>
      <c r="Y113" s="255"/>
      <c r="Z113" s="255"/>
      <c r="AA113" s="255"/>
      <c r="AB113" s="255"/>
      <c r="AC113" s="255"/>
      <c r="AD113" s="255"/>
      <c r="AE113" s="255"/>
      <c r="AF113" s="255"/>
      <c r="AG113" s="255"/>
      <c r="AH113" s="256"/>
    </row>
    <row r="114" spans="3:41" s="106" customFormat="1" ht="15" customHeight="1">
      <c r="C114" s="254"/>
      <c r="D114" s="255"/>
      <c r="E114" s="255"/>
      <c r="F114" s="255"/>
      <c r="G114" s="255"/>
      <c r="H114" s="255"/>
      <c r="I114" s="255"/>
      <c r="J114" s="255"/>
      <c r="K114" s="255"/>
      <c r="L114" s="255"/>
      <c r="M114" s="255"/>
      <c r="N114" s="255"/>
      <c r="O114" s="255"/>
      <c r="P114" s="255"/>
      <c r="Q114" s="255"/>
      <c r="R114" s="255"/>
      <c r="S114" s="255"/>
      <c r="T114" s="255"/>
      <c r="U114" s="255"/>
      <c r="V114" s="255"/>
      <c r="W114" s="255"/>
      <c r="X114" s="255"/>
      <c r="Y114" s="255"/>
      <c r="Z114" s="255"/>
      <c r="AA114" s="255"/>
      <c r="AB114" s="255"/>
      <c r="AC114" s="255"/>
      <c r="AD114" s="255"/>
      <c r="AE114" s="255"/>
      <c r="AF114" s="255"/>
      <c r="AG114" s="255"/>
      <c r="AH114" s="256"/>
    </row>
    <row r="115" spans="3:41" s="106" customFormat="1" ht="15" customHeight="1">
      <c r="C115" s="79"/>
      <c r="D115" s="39"/>
      <c r="E115" s="39"/>
      <c r="F115" s="39"/>
      <c r="G115" s="39"/>
      <c r="H115" s="39"/>
      <c r="I115" s="39"/>
      <c r="J115" s="39"/>
      <c r="K115" s="39"/>
      <c r="L115" s="39"/>
      <c r="M115" s="39"/>
      <c r="N115" s="39"/>
      <c r="O115" s="39"/>
      <c r="P115" s="39"/>
      <c r="Q115" s="39"/>
      <c r="R115" s="39"/>
      <c r="S115" s="39"/>
      <c r="T115" s="39"/>
      <c r="U115" s="25"/>
      <c r="V115" s="25"/>
      <c r="W115" s="25"/>
      <c r="X115" s="25"/>
      <c r="Y115" s="25"/>
      <c r="Z115" s="25"/>
      <c r="AA115" s="25"/>
      <c r="AB115" s="25"/>
      <c r="AC115" s="25"/>
      <c r="AD115" s="25"/>
      <c r="AE115" s="25"/>
      <c r="AF115" s="25"/>
      <c r="AG115" s="25"/>
      <c r="AH115" s="38"/>
    </row>
    <row r="116" spans="3:41" s="106" customFormat="1" ht="15" customHeight="1">
      <c r="C116" s="7"/>
      <c r="D116" s="7"/>
      <c r="E116" s="7"/>
      <c r="F116" s="7"/>
      <c r="G116" s="7"/>
      <c r="H116" s="7"/>
      <c r="I116" s="7"/>
      <c r="J116" s="7"/>
      <c r="K116" s="7"/>
      <c r="L116" s="7"/>
      <c r="M116" s="7"/>
      <c r="N116" s="7"/>
      <c r="O116" s="7"/>
      <c r="P116" s="7"/>
      <c r="Q116" s="7"/>
      <c r="R116" s="7"/>
      <c r="S116" s="7"/>
      <c r="T116" s="7"/>
      <c r="U116" s="13"/>
      <c r="V116" s="13"/>
      <c r="W116" s="13"/>
      <c r="X116" s="13"/>
      <c r="Y116" s="13"/>
      <c r="Z116" s="13"/>
      <c r="AA116" s="13"/>
      <c r="AB116" s="13"/>
      <c r="AC116" s="13"/>
      <c r="AD116" s="13"/>
      <c r="AE116" s="13"/>
      <c r="AF116" s="13"/>
      <c r="AG116" s="13"/>
      <c r="AH116" s="13"/>
    </row>
    <row r="117" spans="3:41" s="106" customFormat="1" ht="15" customHeight="1">
      <c r="C117" s="6"/>
      <c r="D117" s="6"/>
      <c r="E117" s="6"/>
      <c r="F117" s="6"/>
      <c r="G117" s="6"/>
      <c r="H117" s="6"/>
      <c r="I117" s="6"/>
      <c r="J117" s="6"/>
      <c r="K117" s="6"/>
      <c r="L117" s="6"/>
      <c r="M117" s="6"/>
      <c r="N117" s="6"/>
      <c r="O117" s="6"/>
      <c r="P117" s="6"/>
      <c r="Q117" s="6"/>
      <c r="R117" s="6">
        <v>3</v>
      </c>
      <c r="S117" s="6"/>
      <c r="T117" s="6"/>
    </row>
    <row r="118" spans="3:41" s="106" customFormat="1" ht="15" customHeight="1">
      <c r="C118" s="6"/>
      <c r="D118" s="6"/>
      <c r="E118" s="6"/>
      <c r="F118" s="6"/>
      <c r="G118" s="6"/>
      <c r="H118" s="6"/>
      <c r="I118" s="6"/>
      <c r="J118" s="6"/>
      <c r="K118" s="6"/>
      <c r="L118" s="6"/>
      <c r="M118" s="6"/>
      <c r="N118" s="6"/>
      <c r="O118" s="6"/>
      <c r="P118" s="6"/>
      <c r="Q118" s="6"/>
      <c r="R118" s="6"/>
      <c r="S118" s="6"/>
      <c r="T118" s="6"/>
    </row>
    <row r="119" spans="3:41" s="106" customFormat="1" ht="21" customHeight="1">
      <c r="C119" s="6"/>
      <c r="D119" s="6"/>
      <c r="E119" s="6"/>
      <c r="F119" s="6"/>
      <c r="G119" s="6"/>
      <c r="H119" s="6"/>
      <c r="I119" s="6"/>
      <c r="J119" s="6"/>
      <c r="K119" s="6"/>
      <c r="L119" s="6"/>
      <c r="M119" s="6"/>
      <c r="N119" s="6"/>
      <c r="O119" s="6"/>
      <c r="P119" s="6"/>
      <c r="Q119" s="6"/>
      <c r="R119" s="6"/>
      <c r="S119" s="6"/>
      <c r="T119" s="6"/>
    </row>
    <row r="120" spans="3:41" s="106" customFormat="1" ht="21" customHeight="1">
      <c r="C120" s="6"/>
      <c r="D120" s="6"/>
      <c r="E120" s="6"/>
      <c r="F120" s="6"/>
      <c r="G120" s="6"/>
      <c r="H120" s="6"/>
      <c r="I120" s="6"/>
      <c r="J120" s="6"/>
      <c r="K120" s="6"/>
      <c r="L120" s="6"/>
      <c r="M120" s="6"/>
      <c r="N120" s="6"/>
      <c r="O120" s="6"/>
      <c r="P120" s="6"/>
      <c r="Q120" s="6"/>
      <c r="R120" s="6"/>
      <c r="S120" s="6"/>
      <c r="T120" s="6"/>
    </row>
    <row r="121" spans="3:41" s="106" customFormat="1" ht="2.25" customHeight="1">
      <c r="C121" s="6"/>
      <c r="D121" s="6"/>
      <c r="E121" s="6"/>
      <c r="F121" s="6"/>
      <c r="G121" s="6"/>
      <c r="H121" s="6"/>
      <c r="I121" s="6"/>
      <c r="J121" s="6"/>
      <c r="K121" s="6"/>
      <c r="L121" s="6"/>
      <c r="M121" s="6"/>
      <c r="N121" s="6"/>
      <c r="O121" s="6"/>
      <c r="P121" s="6"/>
      <c r="Q121" s="6"/>
      <c r="R121" s="6"/>
      <c r="S121" s="6"/>
      <c r="T121" s="6"/>
    </row>
    <row r="122" spans="3:41" ht="15" customHeight="1">
      <c r="C122" s="6" t="s">
        <v>154</v>
      </c>
      <c r="AE122" s="330" t="s">
        <v>936</v>
      </c>
      <c r="AF122" s="331"/>
      <c r="AG122" s="331"/>
      <c r="AH122" s="332"/>
    </row>
    <row r="123" spans="3:41" ht="9.9499999999999993" customHeight="1"/>
    <row r="124" spans="3:41" ht="15" customHeight="1">
      <c r="C124" s="6" t="s">
        <v>155</v>
      </c>
    </row>
    <row r="125" spans="3:41" ht="9.9499999999999993" customHeight="1"/>
    <row r="126" spans="3:41" s="21" customFormat="1" ht="30" customHeight="1">
      <c r="C126" s="213" t="s">
        <v>24</v>
      </c>
      <c r="D126" s="214"/>
      <c r="E126" s="214"/>
      <c r="F126" s="214"/>
      <c r="G126" s="214"/>
      <c r="H126" s="214"/>
      <c r="I126" s="272"/>
      <c r="J126" s="213" t="s">
        <v>157</v>
      </c>
      <c r="K126" s="214"/>
      <c r="L126" s="214"/>
      <c r="M126" s="214"/>
      <c r="N126" s="214"/>
      <c r="O126" s="272"/>
      <c r="P126" s="213" t="s">
        <v>158</v>
      </c>
      <c r="Q126" s="214"/>
      <c r="R126" s="214"/>
      <c r="S126" s="214"/>
      <c r="T126" s="214"/>
      <c r="U126" s="214"/>
      <c r="V126" s="272"/>
      <c r="W126" s="213" t="s">
        <v>156</v>
      </c>
      <c r="X126" s="214"/>
      <c r="Y126" s="214"/>
      <c r="Z126" s="214"/>
      <c r="AA126" s="272"/>
      <c r="AB126" s="213" t="s">
        <v>23</v>
      </c>
      <c r="AC126" s="214"/>
      <c r="AD126" s="214"/>
      <c r="AE126" s="214"/>
      <c r="AF126" s="214"/>
      <c r="AG126" s="214"/>
      <c r="AH126" s="272"/>
      <c r="AL126" s="23"/>
      <c r="AM126" s="23"/>
      <c r="AN126" s="23"/>
      <c r="AO126" s="23"/>
    </row>
    <row r="127" spans="3:41" ht="15.75" customHeight="1">
      <c r="C127" s="299"/>
      <c r="D127" s="300"/>
      <c r="E127" s="300"/>
      <c r="F127" s="300"/>
      <c r="G127" s="300"/>
      <c r="H127" s="300"/>
      <c r="I127" s="301"/>
      <c r="J127" s="296"/>
      <c r="K127" s="296"/>
      <c r="L127" s="296"/>
      <c r="M127" s="296"/>
      <c r="N127" s="296"/>
      <c r="O127" s="296"/>
      <c r="P127" s="321"/>
      <c r="Q127" s="322"/>
      <c r="R127" s="322"/>
      <c r="S127" s="322"/>
      <c r="T127" s="322"/>
      <c r="U127" s="322"/>
      <c r="V127" s="323"/>
      <c r="W127" s="299"/>
      <c r="X127" s="300"/>
      <c r="Y127" s="300"/>
      <c r="Z127" s="300"/>
      <c r="AA127" s="301"/>
      <c r="AB127" s="321"/>
      <c r="AC127" s="322"/>
      <c r="AD127" s="322"/>
      <c r="AE127" s="322"/>
      <c r="AF127" s="322"/>
      <c r="AG127" s="322"/>
      <c r="AH127" s="323"/>
    </row>
    <row r="128" spans="3:41" s="106" customFormat="1" ht="15.75" customHeight="1">
      <c r="C128" s="227"/>
      <c r="D128" s="224"/>
      <c r="E128" s="224"/>
      <c r="F128" s="224"/>
      <c r="G128" s="224"/>
      <c r="H128" s="224"/>
      <c r="I128" s="225"/>
      <c r="J128" s="296"/>
      <c r="K128" s="296"/>
      <c r="L128" s="296"/>
      <c r="M128" s="296"/>
      <c r="N128" s="296"/>
      <c r="O128" s="296"/>
      <c r="P128" s="290"/>
      <c r="Q128" s="291"/>
      <c r="R128" s="291"/>
      <c r="S128" s="291"/>
      <c r="T128" s="291"/>
      <c r="U128" s="291"/>
      <c r="V128" s="292"/>
      <c r="W128" s="227"/>
      <c r="X128" s="224"/>
      <c r="Y128" s="224"/>
      <c r="Z128" s="224"/>
      <c r="AA128" s="225"/>
      <c r="AB128" s="290"/>
      <c r="AC128" s="291"/>
      <c r="AD128" s="291"/>
      <c r="AE128" s="291"/>
      <c r="AF128" s="291"/>
      <c r="AG128" s="291"/>
      <c r="AH128" s="292"/>
    </row>
    <row r="129" spans="3:39" ht="15.75" customHeight="1">
      <c r="C129" s="273"/>
      <c r="D129" s="274"/>
      <c r="E129" s="274"/>
      <c r="F129" s="274"/>
      <c r="G129" s="274"/>
      <c r="H129" s="274"/>
      <c r="I129" s="275"/>
      <c r="J129" s="296"/>
      <c r="K129" s="296"/>
      <c r="L129" s="296"/>
      <c r="M129" s="296"/>
      <c r="N129" s="296"/>
      <c r="O129" s="296"/>
      <c r="P129" s="276"/>
      <c r="Q129" s="277"/>
      <c r="R129" s="277"/>
      <c r="S129" s="277"/>
      <c r="T129" s="277"/>
      <c r="U129" s="277"/>
      <c r="V129" s="278"/>
      <c r="W129" s="273"/>
      <c r="X129" s="274"/>
      <c r="Y129" s="274"/>
      <c r="Z129" s="274"/>
      <c r="AA129" s="275"/>
      <c r="AB129" s="276"/>
      <c r="AC129" s="277"/>
      <c r="AD129" s="277"/>
      <c r="AE129" s="277"/>
      <c r="AF129" s="277"/>
      <c r="AG129" s="277"/>
      <c r="AH129" s="278"/>
    </row>
    <row r="130" spans="3:39" ht="9.9499999999999993" customHeight="1"/>
    <row r="131" spans="3:39" ht="3.75" customHeight="1"/>
    <row r="132" spans="3:39" ht="15" customHeight="1">
      <c r="C132" s="132" t="s">
        <v>97</v>
      </c>
      <c r="D132" s="133"/>
      <c r="E132" s="133"/>
      <c r="F132" s="133"/>
      <c r="G132" s="133"/>
      <c r="H132" s="133"/>
      <c r="I132" s="133"/>
      <c r="J132" s="133"/>
      <c r="K132" s="133"/>
      <c r="L132" s="133"/>
      <c r="M132" s="133"/>
      <c r="N132" s="133"/>
      <c r="O132" s="133"/>
      <c r="P132" s="133"/>
      <c r="Q132" s="133"/>
      <c r="R132" s="133"/>
      <c r="S132" s="133"/>
      <c r="T132" s="133"/>
      <c r="U132" s="133"/>
      <c r="V132" s="133"/>
      <c r="W132" s="133"/>
      <c r="X132" s="133"/>
      <c r="Y132" s="133"/>
      <c r="Z132" s="133"/>
      <c r="AA132" s="133"/>
      <c r="AB132" s="133"/>
      <c r="AC132" s="133"/>
      <c r="AD132" s="133"/>
      <c r="AE132" s="133"/>
      <c r="AF132" s="133"/>
      <c r="AG132" s="133"/>
      <c r="AH132" s="134"/>
    </row>
    <row r="133" spans="3:39" ht="15" customHeight="1">
      <c r="C133" s="287" t="s">
        <v>11</v>
      </c>
      <c r="D133" s="288"/>
      <c r="E133" s="287" t="s">
        <v>1</v>
      </c>
      <c r="F133" s="289"/>
      <c r="G133" s="289"/>
      <c r="H133" s="289"/>
      <c r="I133" s="289"/>
      <c r="J133" s="289"/>
      <c r="K133" s="289"/>
      <c r="L133" s="288"/>
      <c r="M133" s="287" t="s">
        <v>25</v>
      </c>
      <c r="N133" s="289"/>
      <c r="O133" s="289"/>
      <c r="P133" s="289"/>
      <c r="Q133" s="289"/>
      <c r="R133" s="289"/>
      <c r="S133" s="289"/>
      <c r="T133" s="289"/>
      <c r="U133" s="289"/>
      <c r="V133" s="288"/>
      <c r="W133" s="287" t="s">
        <v>98</v>
      </c>
      <c r="X133" s="289"/>
      <c r="Y133" s="289"/>
      <c r="Z133" s="289"/>
      <c r="AA133" s="289"/>
      <c r="AB133" s="288"/>
      <c r="AC133" s="287" t="s">
        <v>99</v>
      </c>
      <c r="AD133" s="289"/>
      <c r="AE133" s="289"/>
      <c r="AF133" s="289"/>
      <c r="AG133" s="289"/>
      <c r="AH133" s="288"/>
    </row>
    <row r="134" spans="3:39" ht="15.75" customHeight="1">
      <c r="C134" s="297">
        <v>1</v>
      </c>
      <c r="D134" s="298"/>
      <c r="E134" s="276"/>
      <c r="F134" s="277"/>
      <c r="G134" s="277"/>
      <c r="H134" s="277"/>
      <c r="I134" s="277"/>
      <c r="J134" s="277"/>
      <c r="K134" s="277"/>
      <c r="L134" s="278"/>
      <c r="M134" s="276"/>
      <c r="N134" s="277"/>
      <c r="O134" s="277"/>
      <c r="P134" s="277"/>
      <c r="Q134" s="277"/>
      <c r="R134" s="277"/>
      <c r="S134" s="277"/>
      <c r="T134" s="277"/>
      <c r="U134" s="277"/>
      <c r="V134" s="278"/>
      <c r="W134" s="302"/>
      <c r="X134" s="303"/>
      <c r="Y134" s="303"/>
      <c r="Z134" s="303"/>
      <c r="AA134" s="303"/>
      <c r="AB134" s="304"/>
      <c r="AC134" s="273"/>
      <c r="AD134" s="274"/>
      <c r="AE134" s="274"/>
      <c r="AF134" s="274"/>
      <c r="AG134" s="274"/>
      <c r="AH134" s="275"/>
    </row>
    <row r="135" spans="3:39" ht="15.75" customHeight="1">
      <c r="C135" s="297">
        <v>2</v>
      </c>
      <c r="D135" s="298"/>
      <c r="E135" s="276"/>
      <c r="F135" s="277"/>
      <c r="G135" s="277"/>
      <c r="H135" s="277"/>
      <c r="I135" s="277"/>
      <c r="J135" s="277"/>
      <c r="K135" s="277"/>
      <c r="L135" s="278"/>
      <c r="M135" s="276"/>
      <c r="N135" s="277"/>
      <c r="O135" s="277"/>
      <c r="P135" s="277"/>
      <c r="Q135" s="277"/>
      <c r="R135" s="277"/>
      <c r="S135" s="277"/>
      <c r="T135" s="277"/>
      <c r="U135" s="277"/>
      <c r="V135" s="278"/>
      <c r="W135" s="302"/>
      <c r="X135" s="303"/>
      <c r="Y135" s="303"/>
      <c r="Z135" s="303"/>
      <c r="AA135" s="303"/>
      <c r="AB135" s="304"/>
      <c r="AC135" s="273"/>
      <c r="AD135" s="274"/>
      <c r="AE135" s="274"/>
      <c r="AF135" s="274"/>
      <c r="AG135" s="274"/>
      <c r="AH135" s="275"/>
    </row>
    <row r="136" spans="3:39" ht="15.75" customHeight="1">
      <c r="C136" s="297">
        <v>3</v>
      </c>
      <c r="D136" s="298"/>
      <c r="E136" s="276"/>
      <c r="F136" s="277"/>
      <c r="G136" s="277"/>
      <c r="H136" s="277"/>
      <c r="I136" s="277"/>
      <c r="J136" s="277"/>
      <c r="K136" s="277"/>
      <c r="L136" s="278"/>
      <c r="M136" s="276"/>
      <c r="N136" s="277"/>
      <c r="O136" s="277"/>
      <c r="P136" s="277"/>
      <c r="Q136" s="277"/>
      <c r="R136" s="277"/>
      <c r="S136" s="277"/>
      <c r="T136" s="277"/>
      <c r="U136" s="277"/>
      <c r="V136" s="278"/>
      <c r="W136" s="302"/>
      <c r="X136" s="303"/>
      <c r="Y136" s="303"/>
      <c r="Z136" s="303"/>
      <c r="AA136" s="303"/>
      <c r="AB136" s="304"/>
      <c r="AC136" s="273"/>
      <c r="AD136" s="274"/>
      <c r="AE136" s="274"/>
      <c r="AF136" s="274"/>
      <c r="AG136" s="274"/>
      <c r="AH136" s="275"/>
    </row>
    <row r="137" spans="3:39" ht="15" customHeight="1"/>
    <row r="138" spans="3:39" s="106" customFormat="1" ht="15" customHeight="1">
      <c r="C138" s="140" t="s">
        <v>989</v>
      </c>
      <c r="D138" s="141"/>
      <c r="E138" s="141"/>
      <c r="F138" s="141"/>
      <c r="G138" s="141"/>
      <c r="H138" s="144"/>
      <c r="I138" s="144"/>
      <c r="J138" s="144"/>
      <c r="K138" s="144"/>
      <c r="L138" s="144"/>
      <c r="M138" s="144"/>
      <c r="N138" s="144"/>
      <c r="O138" s="144"/>
      <c r="P138" s="146"/>
      <c r="Q138" s="146"/>
      <c r="R138" s="146"/>
      <c r="S138" s="146"/>
      <c r="T138" s="146"/>
      <c r="U138" s="146"/>
      <c r="V138" s="146"/>
      <c r="W138" s="146"/>
      <c r="X138" s="146"/>
      <c r="Y138" s="146"/>
      <c r="Z138" s="146"/>
      <c r="AA138" s="146"/>
      <c r="AB138" s="146"/>
      <c r="AC138" s="146"/>
      <c r="AD138" s="146"/>
      <c r="AE138" s="146"/>
      <c r="AF138" s="146"/>
      <c r="AG138" s="146"/>
      <c r="AH138" s="147"/>
    </row>
    <row r="139" spans="3:39" s="106" customFormat="1" ht="6" customHeight="1"/>
    <row r="140" spans="3:39" s="106" customFormat="1" ht="15" customHeight="1">
      <c r="C140" s="140" t="s">
        <v>1004</v>
      </c>
      <c r="D140" s="141"/>
      <c r="E140" s="141"/>
      <c r="F140" s="141"/>
      <c r="G140" s="141"/>
      <c r="H140" s="144"/>
      <c r="I140" s="144"/>
      <c r="J140" s="144"/>
      <c r="K140" s="144"/>
      <c r="L140" s="144"/>
      <c r="M140" s="144"/>
      <c r="N140" s="144"/>
      <c r="O140" s="144"/>
      <c r="P140" s="146"/>
      <c r="Q140" s="146"/>
      <c r="R140" s="146"/>
      <c r="S140" s="146"/>
      <c r="T140" s="146"/>
      <c r="U140" s="146"/>
      <c r="V140" s="146"/>
      <c r="W140" s="146"/>
      <c r="X140" s="146"/>
      <c r="Y140" s="146"/>
      <c r="Z140" s="146"/>
      <c r="AA140" s="146"/>
      <c r="AB140" s="146"/>
      <c r="AC140" s="146"/>
      <c r="AD140" s="146"/>
      <c r="AE140" s="146"/>
      <c r="AF140" s="146"/>
      <c r="AG140" s="146"/>
      <c r="AH140" s="147"/>
    </row>
    <row r="141" spans="3:39" s="106" customFormat="1" ht="15" customHeight="1">
      <c r="C141" s="384" t="s">
        <v>1018</v>
      </c>
      <c r="D141" s="385"/>
      <c r="E141" s="385"/>
      <c r="F141" s="385"/>
      <c r="G141" s="385"/>
      <c r="H141" s="385"/>
      <c r="I141" s="385"/>
      <c r="J141" s="385"/>
      <c r="K141" s="385"/>
      <c r="L141" s="385"/>
      <c r="M141" s="385"/>
      <c r="N141" s="385"/>
      <c r="O141" s="385"/>
      <c r="P141" s="385"/>
      <c r="Q141" s="385"/>
      <c r="R141" s="385"/>
      <c r="S141" s="385"/>
      <c r="T141" s="385"/>
      <c r="U141" s="385"/>
      <c r="V141" s="385"/>
      <c r="W141" s="385"/>
      <c r="X141" s="385"/>
      <c r="Y141" s="385"/>
      <c r="Z141" s="385"/>
      <c r="AA141" s="385"/>
      <c r="AB141" s="385"/>
      <c r="AC141" s="385"/>
      <c r="AD141" s="385"/>
      <c r="AE141" s="385"/>
      <c r="AF141" s="385"/>
      <c r="AG141" s="385"/>
      <c r="AH141" s="386"/>
    </row>
    <row r="142" spans="3:39" s="106" customFormat="1" ht="15" customHeight="1">
      <c r="C142" s="387"/>
      <c r="D142" s="388"/>
      <c r="E142" s="388"/>
      <c r="F142" s="388"/>
      <c r="G142" s="388"/>
      <c r="H142" s="388"/>
      <c r="I142" s="388"/>
      <c r="J142" s="388"/>
      <c r="K142" s="388"/>
      <c r="L142" s="388"/>
      <c r="M142" s="388"/>
      <c r="N142" s="388"/>
      <c r="O142" s="388"/>
      <c r="P142" s="388"/>
      <c r="Q142" s="388"/>
      <c r="R142" s="388"/>
      <c r="S142" s="388"/>
      <c r="T142" s="388"/>
      <c r="U142" s="388"/>
      <c r="V142" s="388"/>
      <c r="W142" s="388"/>
      <c r="X142" s="388"/>
      <c r="Y142" s="388"/>
      <c r="Z142" s="388"/>
      <c r="AA142" s="388"/>
      <c r="AB142" s="388"/>
      <c r="AC142" s="388"/>
      <c r="AD142" s="388"/>
      <c r="AE142" s="388"/>
      <c r="AF142" s="388"/>
      <c r="AG142" s="388"/>
      <c r="AH142" s="389"/>
    </row>
    <row r="143" spans="3:39" s="106" customFormat="1" ht="47.25" customHeight="1">
      <c r="C143" s="213" t="s">
        <v>12</v>
      </c>
      <c r="D143" s="214"/>
      <c r="E143" s="214"/>
      <c r="F143" s="214"/>
      <c r="G143" s="214"/>
      <c r="H143" s="214"/>
      <c r="I143" s="214"/>
      <c r="J143" s="214"/>
      <c r="K143" s="214"/>
      <c r="L143" s="214"/>
      <c r="M143" s="213" t="s">
        <v>25</v>
      </c>
      <c r="N143" s="214"/>
      <c r="O143" s="214"/>
      <c r="P143" s="214"/>
      <c r="Q143" s="214"/>
      <c r="R143" s="214"/>
      <c r="S143" s="214"/>
      <c r="T143" s="214"/>
      <c r="U143" s="213" t="s">
        <v>990</v>
      </c>
      <c r="V143" s="214"/>
      <c r="W143" s="214"/>
      <c r="X143" s="214"/>
      <c r="Y143" s="213" t="s">
        <v>991</v>
      </c>
      <c r="Z143" s="214"/>
      <c r="AA143" s="214"/>
      <c r="AB143" s="214"/>
      <c r="AC143" s="214"/>
      <c r="AD143" s="214"/>
      <c r="AE143" s="214"/>
      <c r="AF143" s="214"/>
      <c r="AG143" s="214"/>
      <c r="AH143" s="272"/>
    </row>
    <row r="144" spans="3:39" s="106" customFormat="1" ht="30" customHeight="1">
      <c r="C144" s="205"/>
      <c r="D144" s="206"/>
      <c r="E144" s="206"/>
      <c r="F144" s="206"/>
      <c r="G144" s="206"/>
      <c r="H144" s="206"/>
      <c r="I144" s="206"/>
      <c r="J144" s="206"/>
      <c r="K144" s="206"/>
      <c r="L144" s="206"/>
      <c r="M144" s="205"/>
      <c r="N144" s="206"/>
      <c r="O144" s="206"/>
      <c r="P144" s="206"/>
      <c r="Q144" s="206"/>
      <c r="R144" s="206"/>
      <c r="S144" s="206"/>
      <c r="T144" s="206"/>
      <c r="U144" s="209"/>
      <c r="V144" s="210"/>
      <c r="W144" s="210"/>
      <c r="X144" s="211"/>
      <c r="Y144" s="205"/>
      <c r="Z144" s="206"/>
      <c r="AA144" s="206"/>
      <c r="AB144" s="206"/>
      <c r="AC144" s="206"/>
      <c r="AD144" s="206"/>
      <c r="AE144" s="206"/>
      <c r="AF144" s="206"/>
      <c r="AG144" s="206"/>
      <c r="AH144" s="212"/>
      <c r="AL144" s="149">
        <f>100-SUM($U$145:$U$147)</f>
        <v>100</v>
      </c>
      <c r="AM144" s="59" t="str">
        <f>C29&amp;" "&amp;Z30</f>
        <v xml:space="preserve">7-1-632/79/1/A BAAPU NAGAR .SR NAGAR500038 </v>
      </c>
    </row>
    <row r="145" spans="3:39" s="106" customFormat="1" ht="30" customHeight="1">
      <c r="C145" s="205"/>
      <c r="D145" s="206"/>
      <c r="E145" s="206"/>
      <c r="F145" s="206"/>
      <c r="G145" s="206"/>
      <c r="H145" s="206"/>
      <c r="I145" s="206"/>
      <c r="J145" s="206"/>
      <c r="K145" s="206"/>
      <c r="L145" s="206"/>
      <c r="M145" s="205"/>
      <c r="N145" s="206"/>
      <c r="O145" s="206"/>
      <c r="P145" s="206"/>
      <c r="Q145" s="206"/>
      <c r="R145" s="206"/>
      <c r="S145" s="206"/>
      <c r="T145" s="206"/>
      <c r="U145" s="209"/>
      <c r="V145" s="210"/>
      <c r="W145" s="210"/>
      <c r="X145" s="211"/>
      <c r="Y145" s="205"/>
      <c r="Z145" s="206"/>
      <c r="AA145" s="206"/>
      <c r="AB145" s="206"/>
      <c r="AC145" s="206"/>
      <c r="AD145" s="206"/>
      <c r="AE145" s="206"/>
      <c r="AF145" s="206"/>
      <c r="AG145" s="206"/>
      <c r="AH145" s="212"/>
      <c r="AL145" s="149">
        <f>100-SUM($U$144,$U$146:$U$147)</f>
        <v>100</v>
      </c>
      <c r="AM145" s="59" t="str">
        <f>C32&amp;" "&amp;Z33</f>
        <v xml:space="preserve">3/150/1 GOURAVELLY,AKKANNAPET,SIDDIPET NEAR GOURAVELLY BUSTOP </v>
      </c>
    </row>
    <row r="146" spans="3:39" s="106" customFormat="1" ht="15" customHeight="1">
      <c r="C146" s="205"/>
      <c r="D146" s="206"/>
      <c r="E146" s="206"/>
      <c r="F146" s="206"/>
      <c r="G146" s="206"/>
      <c r="H146" s="206"/>
      <c r="I146" s="206"/>
      <c r="J146" s="206"/>
      <c r="K146" s="206"/>
      <c r="L146" s="206"/>
      <c r="M146" s="205"/>
      <c r="N146" s="206"/>
      <c r="O146" s="206"/>
      <c r="P146" s="206"/>
      <c r="Q146" s="206"/>
      <c r="R146" s="206"/>
      <c r="S146" s="206"/>
      <c r="T146" s="206"/>
      <c r="U146" s="209"/>
      <c r="V146" s="210"/>
      <c r="W146" s="210"/>
      <c r="X146" s="211"/>
      <c r="Y146" s="205"/>
      <c r="Z146" s="206"/>
      <c r="AA146" s="206"/>
      <c r="AB146" s="206"/>
      <c r="AC146" s="206"/>
      <c r="AD146" s="206"/>
      <c r="AE146" s="206"/>
      <c r="AF146" s="206"/>
      <c r="AG146" s="206"/>
      <c r="AH146" s="212"/>
      <c r="AL146" s="149">
        <f>100-SUM($U$144:$U$145,$U$147)</f>
        <v>100</v>
      </c>
      <c r="AM146" s="59"/>
    </row>
    <row r="147" spans="3:39" s="106" customFormat="1" ht="15" customHeight="1">
      <c r="C147" s="205"/>
      <c r="D147" s="206"/>
      <c r="E147" s="206"/>
      <c r="F147" s="206"/>
      <c r="G147" s="206"/>
      <c r="H147" s="206"/>
      <c r="I147" s="206"/>
      <c r="J147" s="206"/>
      <c r="K147" s="206"/>
      <c r="L147" s="206"/>
      <c r="M147" s="205"/>
      <c r="N147" s="206"/>
      <c r="O147" s="206"/>
      <c r="P147" s="206"/>
      <c r="Q147" s="206"/>
      <c r="R147" s="206"/>
      <c r="S147" s="206"/>
      <c r="T147" s="206"/>
      <c r="U147" s="209"/>
      <c r="V147" s="210"/>
      <c r="W147" s="210"/>
      <c r="X147" s="211"/>
      <c r="Y147" s="205"/>
      <c r="Z147" s="206"/>
      <c r="AA147" s="206"/>
      <c r="AB147" s="206"/>
      <c r="AC147" s="206"/>
      <c r="AD147" s="206"/>
      <c r="AE147" s="206"/>
      <c r="AF147" s="206"/>
      <c r="AG147" s="206"/>
      <c r="AH147" s="212"/>
      <c r="AL147" s="149">
        <f>100-SUM($U$144:$U$146)</f>
        <v>100</v>
      </c>
      <c r="AM147" s="59"/>
    </row>
    <row r="148" spans="3:39" s="106" customFormat="1" ht="15" customHeight="1">
      <c r="AL148" s="148" t="s">
        <v>993</v>
      </c>
    </row>
    <row r="149" spans="3:39" s="106" customFormat="1" ht="15" customHeight="1">
      <c r="C149" s="140" t="s">
        <v>1005</v>
      </c>
      <c r="D149" s="141"/>
      <c r="E149" s="141"/>
      <c r="F149" s="141"/>
      <c r="G149" s="141"/>
      <c r="H149" s="144"/>
      <c r="I149" s="144"/>
      <c r="J149" s="144"/>
      <c r="K149" s="144"/>
      <c r="L149" s="144"/>
      <c r="M149" s="144"/>
      <c r="N149" s="144"/>
      <c r="O149" s="144"/>
      <c r="P149" s="146"/>
      <c r="Q149" s="146"/>
      <c r="R149" s="146"/>
      <c r="S149" s="146"/>
      <c r="T149" s="146"/>
      <c r="U149" s="146"/>
      <c r="V149" s="146"/>
      <c r="W149" s="146"/>
      <c r="X149" s="146"/>
      <c r="Y149" s="146"/>
      <c r="Z149" s="146"/>
      <c r="AA149" s="146"/>
      <c r="AB149" s="146"/>
      <c r="AC149" s="146"/>
      <c r="AD149" s="146"/>
      <c r="AE149" s="146"/>
      <c r="AF149" s="146"/>
      <c r="AG149" s="146"/>
      <c r="AH149" s="147"/>
    </row>
    <row r="150" spans="3:39" s="106" customFormat="1" ht="15" customHeight="1">
      <c r="C150" s="390" t="s">
        <v>1019</v>
      </c>
      <c r="D150" s="391"/>
      <c r="E150" s="391"/>
      <c r="F150" s="391"/>
      <c r="G150" s="391"/>
      <c r="H150" s="391"/>
      <c r="I150" s="391"/>
      <c r="J150" s="391"/>
      <c r="K150" s="391"/>
      <c r="L150" s="391"/>
      <c r="M150" s="391"/>
      <c r="N150" s="391"/>
      <c r="O150" s="391"/>
      <c r="P150" s="391"/>
      <c r="Q150" s="391"/>
      <c r="R150" s="391"/>
      <c r="S150" s="391"/>
      <c r="T150" s="391"/>
      <c r="U150" s="391"/>
      <c r="V150" s="391"/>
      <c r="W150" s="391"/>
      <c r="X150" s="391"/>
      <c r="Y150" s="391"/>
      <c r="Z150" s="391"/>
      <c r="AA150" s="391"/>
      <c r="AB150" s="391"/>
      <c r="AC150" s="391"/>
      <c r="AD150" s="391"/>
      <c r="AE150" s="391"/>
      <c r="AF150" s="391"/>
      <c r="AG150" s="391"/>
      <c r="AH150" s="392"/>
    </row>
    <row r="151" spans="3:39" s="106" customFormat="1" ht="15" customHeight="1">
      <c r="C151" s="393"/>
      <c r="D151" s="394"/>
      <c r="E151" s="394"/>
      <c r="F151" s="394"/>
      <c r="G151" s="394"/>
      <c r="H151" s="394"/>
      <c r="I151" s="394"/>
      <c r="J151" s="394"/>
      <c r="K151" s="394"/>
      <c r="L151" s="394"/>
      <c r="M151" s="394"/>
      <c r="N151" s="394"/>
      <c r="O151" s="394"/>
      <c r="P151" s="394"/>
      <c r="Q151" s="394"/>
      <c r="R151" s="394"/>
      <c r="S151" s="394"/>
      <c r="T151" s="394"/>
      <c r="U151" s="394"/>
      <c r="V151" s="394"/>
      <c r="W151" s="394"/>
      <c r="X151" s="394"/>
      <c r="Y151" s="394"/>
      <c r="Z151" s="394"/>
      <c r="AA151" s="394"/>
      <c r="AB151" s="394"/>
      <c r="AC151" s="394"/>
      <c r="AD151" s="394"/>
      <c r="AE151" s="394"/>
      <c r="AF151" s="394"/>
      <c r="AG151" s="394"/>
      <c r="AH151" s="395"/>
    </row>
    <row r="152" spans="3:39" s="106" customFormat="1" ht="22.5" customHeight="1">
      <c r="C152" s="213" t="s">
        <v>12</v>
      </c>
      <c r="D152" s="214"/>
      <c r="E152" s="214"/>
      <c r="F152" s="214"/>
      <c r="G152" s="214"/>
      <c r="H152" s="214"/>
      <c r="I152" s="214"/>
      <c r="J152" s="214"/>
      <c r="K152" s="214"/>
      <c r="L152" s="214"/>
      <c r="M152" s="213" t="s">
        <v>25</v>
      </c>
      <c r="N152" s="214"/>
      <c r="O152" s="214"/>
      <c r="P152" s="214"/>
      <c r="Q152" s="214"/>
      <c r="R152" s="214"/>
      <c r="S152" s="214"/>
      <c r="T152" s="214"/>
      <c r="U152" s="214"/>
      <c r="V152" s="214"/>
      <c r="W152" s="214"/>
      <c r="X152" s="272"/>
      <c r="Y152" s="213" t="s">
        <v>45</v>
      </c>
      <c r="Z152" s="214"/>
      <c r="AA152" s="214"/>
      <c r="AB152" s="214"/>
      <c r="AC152" s="214"/>
      <c r="AD152" s="214"/>
      <c r="AE152" s="214"/>
      <c r="AF152" s="214"/>
      <c r="AG152" s="214"/>
      <c r="AH152" s="272"/>
    </row>
    <row r="153" spans="3:39" s="106" customFormat="1" ht="30" customHeight="1">
      <c r="C153" s="205"/>
      <c r="D153" s="206"/>
      <c r="E153" s="206"/>
      <c r="F153" s="206"/>
      <c r="G153" s="206"/>
      <c r="H153" s="206"/>
      <c r="I153" s="206"/>
      <c r="J153" s="206"/>
      <c r="K153" s="206"/>
      <c r="L153" s="206"/>
      <c r="M153" s="205" t="str">
        <f>IF(C153="","",(VLOOKUP(C153,$C$144:$T$147,11,0)))</f>
        <v/>
      </c>
      <c r="N153" s="206"/>
      <c r="O153" s="206"/>
      <c r="P153" s="206"/>
      <c r="Q153" s="206"/>
      <c r="R153" s="206"/>
      <c r="S153" s="206"/>
      <c r="T153" s="206"/>
      <c r="U153" s="206"/>
      <c r="V153" s="206"/>
      <c r="W153" s="206"/>
      <c r="X153" s="212"/>
      <c r="Y153" s="207" t="str">
        <f>IF(C153="","",(VLOOKUP(C153,$F$43:$X$50,11,0)))</f>
        <v/>
      </c>
      <c r="Z153" s="208"/>
      <c r="AA153" s="208"/>
      <c r="AB153" s="208"/>
      <c r="AC153" s="208"/>
      <c r="AD153" s="208"/>
      <c r="AE153" s="208"/>
      <c r="AF153" s="208"/>
      <c r="AG153" s="208"/>
      <c r="AH153" s="279"/>
      <c r="AL153" s="149"/>
    </row>
    <row r="154" spans="3:39" s="106" customFormat="1" ht="30" customHeight="1">
      <c r="C154" s="205"/>
      <c r="D154" s="206"/>
      <c r="E154" s="206"/>
      <c r="F154" s="206"/>
      <c r="G154" s="206"/>
      <c r="H154" s="206"/>
      <c r="I154" s="206"/>
      <c r="J154" s="206"/>
      <c r="K154" s="206"/>
      <c r="L154" s="206"/>
      <c r="M154" s="205" t="str">
        <f>IF(C154="","",(VLOOKUP(C154,$C$144:$T$147,11,0)))</f>
        <v/>
      </c>
      <c r="N154" s="206"/>
      <c r="O154" s="206"/>
      <c r="P154" s="206"/>
      <c r="Q154" s="206"/>
      <c r="R154" s="206"/>
      <c r="S154" s="206"/>
      <c r="T154" s="206"/>
      <c r="U154" s="206"/>
      <c r="V154" s="206"/>
      <c r="W154" s="206"/>
      <c r="X154" s="212"/>
      <c r="Y154" s="207" t="str">
        <f>IF(C154="","",(VLOOKUP(C154,$F$43:$X$50,11,0)))</f>
        <v/>
      </c>
      <c r="Z154" s="208"/>
      <c r="AA154" s="208"/>
      <c r="AB154" s="208"/>
      <c r="AC154" s="208"/>
      <c r="AD154" s="208"/>
      <c r="AE154" s="208"/>
      <c r="AF154" s="208"/>
      <c r="AG154" s="208"/>
      <c r="AH154" s="279"/>
      <c r="AL154" s="149"/>
    </row>
    <row r="155" spans="3:39" s="106" customFormat="1" ht="15" customHeight="1">
      <c r="C155" s="205"/>
      <c r="D155" s="206"/>
      <c r="E155" s="206"/>
      <c r="F155" s="206"/>
      <c r="G155" s="206"/>
      <c r="H155" s="206"/>
      <c r="I155" s="206"/>
      <c r="J155" s="206"/>
      <c r="K155" s="206"/>
      <c r="L155" s="206"/>
      <c r="M155" s="205" t="str">
        <f>IF(C155="","",(VLOOKUP(C155,$C$144:$T$147,11,0)))</f>
        <v/>
      </c>
      <c r="N155" s="206"/>
      <c r="O155" s="206"/>
      <c r="P155" s="206"/>
      <c r="Q155" s="206"/>
      <c r="R155" s="206"/>
      <c r="S155" s="206"/>
      <c r="T155" s="206"/>
      <c r="U155" s="206"/>
      <c r="V155" s="206"/>
      <c r="W155" s="206"/>
      <c r="X155" s="212"/>
      <c r="Y155" s="207" t="str">
        <f>IF(C155="","",(VLOOKUP(C155,$F$43:$X$50,11,0)))</f>
        <v/>
      </c>
      <c r="Z155" s="208"/>
      <c r="AA155" s="208"/>
      <c r="AB155" s="208"/>
      <c r="AC155" s="208"/>
      <c r="AD155" s="208"/>
      <c r="AE155" s="208"/>
      <c r="AF155" s="208"/>
      <c r="AG155" s="208"/>
      <c r="AH155" s="279"/>
      <c r="AL155" s="149"/>
    </row>
    <row r="156" spans="3:39" s="106" customFormat="1" ht="15" customHeight="1">
      <c r="C156" s="205"/>
      <c r="D156" s="206"/>
      <c r="E156" s="206"/>
      <c r="F156" s="206"/>
      <c r="G156" s="206"/>
      <c r="H156" s="206"/>
      <c r="I156" s="206"/>
      <c r="J156" s="206"/>
      <c r="K156" s="206"/>
      <c r="L156" s="206"/>
      <c r="M156" s="205" t="str">
        <f>IF(C156="","",(VLOOKUP(C156,$C$144:$T$147,11,0)))</f>
        <v/>
      </c>
      <c r="N156" s="206"/>
      <c r="O156" s="206"/>
      <c r="P156" s="206"/>
      <c r="Q156" s="206"/>
      <c r="R156" s="206"/>
      <c r="S156" s="206"/>
      <c r="T156" s="206"/>
      <c r="U156" s="206"/>
      <c r="V156" s="206"/>
      <c r="W156" s="206"/>
      <c r="X156" s="212"/>
      <c r="Y156" s="207" t="str">
        <f>IF(C156="","",(VLOOKUP(C156,$F$43:$X$50,11,0)))</f>
        <v/>
      </c>
      <c r="Z156" s="208"/>
      <c r="AA156" s="208"/>
      <c r="AB156" s="208"/>
      <c r="AC156" s="208"/>
      <c r="AD156" s="208"/>
      <c r="AE156" s="208"/>
      <c r="AF156" s="208"/>
      <c r="AG156" s="208"/>
      <c r="AH156" s="279"/>
      <c r="AL156" s="149"/>
    </row>
    <row r="157" spans="3:39" s="106" customFormat="1" ht="8.25" customHeight="1">
      <c r="AL157" s="148"/>
    </row>
    <row r="158" spans="3:39" s="106" customFormat="1" ht="15" customHeight="1">
      <c r="C158" s="140" t="s">
        <v>992</v>
      </c>
      <c r="D158" s="141"/>
      <c r="E158" s="141"/>
      <c r="F158" s="141"/>
      <c r="G158" s="141"/>
      <c r="H158" s="144"/>
      <c r="I158" s="144"/>
      <c r="J158" s="144"/>
      <c r="K158" s="144"/>
      <c r="L158" s="144"/>
      <c r="M158" s="144"/>
      <c r="N158" s="144"/>
      <c r="O158" s="144"/>
      <c r="P158" s="146"/>
      <c r="Q158" s="146"/>
      <c r="R158" s="146"/>
      <c r="S158" s="146"/>
      <c r="T158" s="146"/>
      <c r="U158" s="146"/>
      <c r="V158" s="146"/>
      <c r="W158" s="146"/>
      <c r="X158" s="146"/>
      <c r="Y158" s="146"/>
      <c r="Z158" s="146"/>
      <c r="AA158" s="146"/>
      <c r="AB158" s="146"/>
      <c r="AC158" s="146"/>
      <c r="AD158" s="146"/>
      <c r="AE158" s="146"/>
      <c r="AF158" s="146"/>
      <c r="AG158" s="146"/>
      <c r="AH158" s="147"/>
    </row>
    <row r="159" spans="3:39" s="106" customFormat="1" ht="47.25" customHeight="1">
      <c r="C159" s="213" t="s">
        <v>12</v>
      </c>
      <c r="D159" s="214"/>
      <c r="E159" s="214"/>
      <c r="F159" s="214"/>
      <c r="G159" s="214"/>
      <c r="H159" s="214"/>
      <c r="I159" s="214"/>
      <c r="J159" s="214"/>
      <c r="K159" s="214"/>
      <c r="L159" s="214"/>
      <c r="M159" s="213" t="s">
        <v>45</v>
      </c>
      <c r="N159" s="214"/>
      <c r="O159" s="214"/>
      <c r="P159" s="214"/>
      <c r="Q159" s="214"/>
      <c r="R159" s="214"/>
      <c r="S159" s="214"/>
      <c r="T159" s="214"/>
      <c r="U159" s="213" t="s">
        <v>990</v>
      </c>
      <c r="V159" s="214"/>
      <c r="W159" s="214"/>
      <c r="X159" s="214"/>
      <c r="Y159" s="213" t="s">
        <v>991</v>
      </c>
      <c r="Z159" s="214"/>
      <c r="AA159" s="214"/>
      <c r="AB159" s="214"/>
      <c r="AC159" s="214"/>
      <c r="AD159" s="214"/>
      <c r="AE159" s="214"/>
      <c r="AF159" s="214"/>
      <c r="AG159" s="214"/>
      <c r="AH159" s="272"/>
    </row>
    <row r="160" spans="3:39" s="106" customFormat="1" ht="22.5" customHeight="1">
      <c r="C160" s="205"/>
      <c r="D160" s="206"/>
      <c r="E160" s="206"/>
      <c r="F160" s="206"/>
      <c r="G160" s="206"/>
      <c r="H160" s="206"/>
      <c r="I160" s="206"/>
      <c r="J160" s="206"/>
      <c r="K160" s="206"/>
      <c r="L160" s="206"/>
      <c r="M160" s="207" t="str">
        <f>IF(C160="","",(VLOOKUP(C160,$F$43:$X$50,11,0)))</f>
        <v/>
      </c>
      <c r="N160" s="208"/>
      <c r="O160" s="208"/>
      <c r="P160" s="208"/>
      <c r="Q160" s="208"/>
      <c r="R160" s="208"/>
      <c r="S160" s="208"/>
      <c r="T160" s="208"/>
      <c r="U160" s="209"/>
      <c r="V160" s="210"/>
      <c r="W160" s="210"/>
      <c r="X160" s="211"/>
      <c r="Y160" s="205"/>
      <c r="Z160" s="206"/>
      <c r="AA160" s="206"/>
      <c r="AB160" s="206"/>
      <c r="AC160" s="206"/>
      <c r="AD160" s="206"/>
      <c r="AE160" s="206"/>
      <c r="AF160" s="206"/>
      <c r="AG160" s="206"/>
      <c r="AH160" s="212"/>
      <c r="AL160" s="149">
        <f>100-SUM($U$161:$U$163)</f>
        <v>100</v>
      </c>
    </row>
    <row r="161" spans="3:38" s="106" customFormat="1" ht="22.5" customHeight="1">
      <c r="C161" s="205"/>
      <c r="D161" s="206"/>
      <c r="E161" s="206"/>
      <c r="F161" s="206"/>
      <c r="G161" s="206"/>
      <c r="H161" s="206"/>
      <c r="I161" s="206"/>
      <c r="J161" s="206"/>
      <c r="K161" s="206"/>
      <c r="L161" s="206"/>
      <c r="M161" s="207" t="str">
        <f>IF(C161="","",(VLOOKUP(C161,$F$43:$X$50,11,0)))</f>
        <v/>
      </c>
      <c r="N161" s="208"/>
      <c r="O161" s="208"/>
      <c r="P161" s="208"/>
      <c r="Q161" s="208"/>
      <c r="R161" s="208"/>
      <c r="S161" s="208"/>
      <c r="T161" s="208"/>
      <c r="U161" s="209"/>
      <c r="V161" s="210"/>
      <c r="W161" s="210"/>
      <c r="X161" s="211"/>
      <c r="Y161" s="205"/>
      <c r="Z161" s="206"/>
      <c r="AA161" s="206"/>
      <c r="AB161" s="206"/>
      <c r="AC161" s="206"/>
      <c r="AD161" s="206"/>
      <c r="AE161" s="206"/>
      <c r="AF161" s="206"/>
      <c r="AG161" s="206"/>
      <c r="AH161" s="212"/>
      <c r="AL161" s="149">
        <f>100-SUM($U$160,$U$162:$U$163)</f>
        <v>100</v>
      </c>
    </row>
    <row r="162" spans="3:38" s="106" customFormat="1" ht="15" customHeight="1">
      <c r="C162" s="205"/>
      <c r="D162" s="206"/>
      <c r="E162" s="206"/>
      <c r="F162" s="206"/>
      <c r="G162" s="206"/>
      <c r="H162" s="206"/>
      <c r="I162" s="206"/>
      <c r="J162" s="206"/>
      <c r="K162" s="206"/>
      <c r="L162" s="206"/>
      <c r="M162" s="207" t="str">
        <f>IF(C162="","",(VLOOKUP(C162,$F$43:$X$50,11,0)))</f>
        <v/>
      </c>
      <c r="N162" s="208"/>
      <c r="O162" s="208"/>
      <c r="P162" s="208"/>
      <c r="Q162" s="208"/>
      <c r="R162" s="208"/>
      <c r="S162" s="208"/>
      <c r="T162" s="208"/>
      <c r="U162" s="209"/>
      <c r="V162" s="210"/>
      <c r="W162" s="210"/>
      <c r="X162" s="211"/>
      <c r="Y162" s="205"/>
      <c r="Z162" s="206"/>
      <c r="AA162" s="206"/>
      <c r="AB162" s="206"/>
      <c r="AC162" s="206"/>
      <c r="AD162" s="206"/>
      <c r="AE162" s="206"/>
      <c r="AF162" s="206"/>
      <c r="AG162" s="206"/>
      <c r="AH162" s="212"/>
      <c r="AL162" s="149">
        <f>100-SUM($U$160:$U$161,$U$163)</f>
        <v>100</v>
      </c>
    </row>
    <row r="163" spans="3:38" s="106" customFormat="1" ht="15" customHeight="1">
      <c r="C163" s="205"/>
      <c r="D163" s="206"/>
      <c r="E163" s="206"/>
      <c r="F163" s="206"/>
      <c r="G163" s="206"/>
      <c r="H163" s="206"/>
      <c r="I163" s="206"/>
      <c r="J163" s="206"/>
      <c r="K163" s="206"/>
      <c r="L163" s="206"/>
      <c r="M163" s="207" t="str">
        <f>IF(C163="","",(VLOOKUP(C163,$F$43:$X$50,15,0)))</f>
        <v/>
      </c>
      <c r="N163" s="208"/>
      <c r="O163" s="208"/>
      <c r="P163" s="208"/>
      <c r="Q163" s="208"/>
      <c r="R163" s="208"/>
      <c r="S163" s="208"/>
      <c r="T163" s="208"/>
      <c r="U163" s="209"/>
      <c r="V163" s="210"/>
      <c r="W163" s="210"/>
      <c r="X163" s="211"/>
      <c r="Y163" s="205"/>
      <c r="Z163" s="206"/>
      <c r="AA163" s="206"/>
      <c r="AB163" s="206"/>
      <c r="AC163" s="206"/>
      <c r="AD163" s="206"/>
      <c r="AE163" s="206"/>
      <c r="AF163" s="206"/>
      <c r="AG163" s="206"/>
      <c r="AH163" s="212"/>
      <c r="AL163" s="149">
        <f>100-SUM($U$160:$U$162)</f>
        <v>100</v>
      </c>
    </row>
    <row r="164" spans="3:38" s="106" customFormat="1" ht="15" hidden="1" customHeight="1">
      <c r="C164" s="6"/>
      <c r="AL164" s="148" t="s">
        <v>994</v>
      </c>
    </row>
    <row r="165" spans="3:38" s="106" customFormat="1" ht="15" customHeight="1">
      <c r="C165" s="6"/>
      <c r="AL165" s="148"/>
    </row>
    <row r="166" spans="3:38" s="106" customFormat="1" ht="15" customHeight="1">
      <c r="C166" s="6"/>
      <c r="R166" s="106">
        <v>4</v>
      </c>
      <c r="AL166" s="148"/>
    </row>
    <row r="167" spans="3:38" s="106" customFormat="1" ht="12" customHeight="1">
      <c r="C167" s="6"/>
      <c r="AL167" s="148"/>
    </row>
    <row r="168" spans="3:38" s="106" customFormat="1" ht="18" customHeight="1">
      <c r="C168" s="6"/>
      <c r="AL168" s="148"/>
    </row>
    <row r="169" spans="3:38" s="106" customFormat="1" ht="18" customHeight="1">
      <c r="C169" s="6"/>
      <c r="AL169" s="148"/>
    </row>
    <row r="170" spans="3:38" s="106" customFormat="1" ht="15" hidden="1" customHeight="1">
      <c r="C170" s="6"/>
      <c r="AL170" s="148"/>
    </row>
    <row r="171" spans="3:38" s="106" customFormat="1" ht="15" customHeight="1">
      <c r="C171" s="6"/>
      <c r="AL171" s="148"/>
    </row>
    <row r="172" spans="3:38" s="106" customFormat="1" ht="15" customHeight="1">
      <c r="C172" s="140" t="s">
        <v>1006</v>
      </c>
      <c r="D172" s="141"/>
      <c r="E172" s="141"/>
      <c r="F172" s="141"/>
      <c r="G172" s="141"/>
      <c r="H172" s="144"/>
      <c r="I172" s="144"/>
      <c r="J172" s="144"/>
      <c r="K172" s="144"/>
      <c r="L172" s="144"/>
      <c r="M172" s="144"/>
      <c r="N172" s="144"/>
      <c r="O172" s="144"/>
      <c r="P172" s="146"/>
      <c r="Q172" s="146"/>
      <c r="R172" s="146"/>
      <c r="S172" s="146"/>
      <c r="T172" s="146"/>
      <c r="U172" s="146"/>
      <c r="V172" s="146"/>
      <c r="W172" s="146"/>
      <c r="X172" s="146"/>
      <c r="Y172" s="146"/>
      <c r="Z172" s="146"/>
      <c r="AA172" s="146"/>
      <c r="AB172" s="146"/>
      <c r="AC172" s="146"/>
      <c r="AD172" s="146"/>
      <c r="AE172" s="146"/>
      <c r="AF172" s="146"/>
      <c r="AG172" s="146"/>
      <c r="AH172" s="147"/>
    </row>
    <row r="173" spans="3:38" s="106" customFormat="1" ht="47.25" customHeight="1">
      <c r="C173" s="213" t="s">
        <v>12</v>
      </c>
      <c r="D173" s="214"/>
      <c r="E173" s="214"/>
      <c r="F173" s="214"/>
      <c r="G173" s="214"/>
      <c r="H173" s="214"/>
      <c r="I173" s="214"/>
      <c r="J173" s="214"/>
      <c r="K173" s="214"/>
      <c r="L173" s="214"/>
      <c r="M173" s="213" t="s">
        <v>45</v>
      </c>
      <c r="N173" s="214"/>
      <c r="O173" s="214"/>
      <c r="P173" s="214"/>
      <c r="Q173" s="214"/>
      <c r="R173" s="214"/>
      <c r="S173" s="214"/>
      <c r="T173" s="214"/>
      <c r="U173" s="213" t="s">
        <v>990</v>
      </c>
      <c r="V173" s="214"/>
      <c r="W173" s="214"/>
      <c r="X173" s="214"/>
      <c r="Y173" s="213" t="s">
        <v>991</v>
      </c>
      <c r="Z173" s="214"/>
      <c r="AA173" s="214"/>
      <c r="AB173" s="214"/>
      <c r="AC173" s="214"/>
      <c r="AD173" s="214"/>
      <c r="AE173" s="214"/>
      <c r="AF173" s="214"/>
      <c r="AG173" s="214"/>
      <c r="AH173" s="272"/>
    </row>
    <row r="174" spans="3:38" s="106" customFormat="1" ht="22.5" customHeight="1">
      <c r="C174" s="205"/>
      <c r="D174" s="206"/>
      <c r="E174" s="206"/>
      <c r="F174" s="206"/>
      <c r="G174" s="206"/>
      <c r="H174" s="206"/>
      <c r="I174" s="206"/>
      <c r="J174" s="206"/>
      <c r="K174" s="206"/>
      <c r="L174" s="206"/>
      <c r="M174" s="207" t="str">
        <f>IF(C174="","",(VLOOKUP(C174,$F$43:$X$50,11,0)))</f>
        <v/>
      </c>
      <c r="N174" s="208"/>
      <c r="O174" s="208"/>
      <c r="P174" s="208"/>
      <c r="Q174" s="208"/>
      <c r="R174" s="208"/>
      <c r="S174" s="208"/>
      <c r="T174" s="208"/>
      <c r="U174" s="209"/>
      <c r="V174" s="210"/>
      <c r="W174" s="210"/>
      <c r="X174" s="211"/>
      <c r="Y174" s="205"/>
      <c r="Z174" s="206"/>
      <c r="AA174" s="206"/>
      <c r="AB174" s="206"/>
      <c r="AC174" s="206"/>
      <c r="AD174" s="206"/>
      <c r="AE174" s="206"/>
      <c r="AF174" s="206"/>
      <c r="AG174" s="206"/>
      <c r="AH174" s="212"/>
      <c r="AL174" s="149">
        <f>100-SUM($U$175:$U$177)</f>
        <v>100</v>
      </c>
    </row>
    <row r="175" spans="3:38" s="106" customFormat="1" ht="22.5" customHeight="1">
      <c r="C175" s="205"/>
      <c r="D175" s="206"/>
      <c r="E175" s="206"/>
      <c r="F175" s="206"/>
      <c r="G175" s="206"/>
      <c r="H175" s="206"/>
      <c r="I175" s="206"/>
      <c r="J175" s="206"/>
      <c r="K175" s="206"/>
      <c r="L175" s="206"/>
      <c r="M175" s="207" t="str">
        <f>IF(C175="","",(VLOOKUP(C175,$F$43:$X$50,11,0)))</f>
        <v/>
      </c>
      <c r="N175" s="208"/>
      <c r="O175" s="208"/>
      <c r="P175" s="208"/>
      <c r="Q175" s="208"/>
      <c r="R175" s="208"/>
      <c r="S175" s="208"/>
      <c r="T175" s="208"/>
      <c r="U175" s="209"/>
      <c r="V175" s="210"/>
      <c r="W175" s="210"/>
      <c r="X175" s="211"/>
      <c r="Y175" s="205"/>
      <c r="Z175" s="206"/>
      <c r="AA175" s="206"/>
      <c r="AB175" s="206"/>
      <c r="AC175" s="206"/>
      <c r="AD175" s="206"/>
      <c r="AE175" s="206"/>
      <c r="AF175" s="206"/>
      <c r="AG175" s="206"/>
      <c r="AH175" s="212"/>
      <c r="AL175" s="149">
        <f>100-SUM($U$174,$U$176:$U$177)</f>
        <v>100</v>
      </c>
    </row>
    <row r="176" spans="3:38" s="106" customFormat="1" ht="15" customHeight="1">
      <c r="C176" s="205"/>
      <c r="D176" s="206"/>
      <c r="E176" s="206"/>
      <c r="F176" s="206"/>
      <c r="G176" s="206"/>
      <c r="H176" s="206"/>
      <c r="I176" s="206"/>
      <c r="J176" s="206"/>
      <c r="K176" s="206"/>
      <c r="L176" s="206"/>
      <c r="M176" s="207" t="str">
        <f>IF(C176="","",(VLOOKUP(C176,$F$43:$X$50,11,0)))</f>
        <v/>
      </c>
      <c r="N176" s="208"/>
      <c r="O176" s="208"/>
      <c r="P176" s="208"/>
      <c r="Q176" s="208"/>
      <c r="R176" s="208"/>
      <c r="S176" s="208"/>
      <c r="T176" s="208"/>
      <c r="U176" s="209"/>
      <c r="V176" s="210"/>
      <c r="W176" s="210"/>
      <c r="X176" s="211"/>
      <c r="Y176" s="205"/>
      <c r="Z176" s="206"/>
      <c r="AA176" s="206"/>
      <c r="AB176" s="206"/>
      <c r="AC176" s="206"/>
      <c r="AD176" s="206"/>
      <c r="AE176" s="206"/>
      <c r="AF176" s="206"/>
      <c r="AG176" s="206"/>
      <c r="AH176" s="212"/>
      <c r="AL176" s="149">
        <f>100-SUM($U$174:$U$175,$U$177)</f>
        <v>100</v>
      </c>
    </row>
    <row r="177" spans="3:38" s="106" customFormat="1" ht="15" customHeight="1">
      <c r="C177" s="205"/>
      <c r="D177" s="206"/>
      <c r="E177" s="206"/>
      <c r="F177" s="206"/>
      <c r="G177" s="206"/>
      <c r="H177" s="206"/>
      <c r="I177" s="206"/>
      <c r="J177" s="206"/>
      <c r="K177" s="206"/>
      <c r="L177" s="206"/>
      <c r="M177" s="207" t="str">
        <f>IF(C177="","",(VLOOKUP(C177,$F$43:$X$50,15,0)))</f>
        <v/>
      </c>
      <c r="N177" s="208"/>
      <c r="O177" s="208"/>
      <c r="P177" s="208"/>
      <c r="Q177" s="208"/>
      <c r="R177" s="208"/>
      <c r="S177" s="208"/>
      <c r="T177" s="208"/>
      <c r="U177" s="209"/>
      <c r="V177" s="210"/>
      <c r="W177" s="210"/>
      <c r="X177" s="211"/>
      <c r="Y177" s="205"/>
      <c r="Z177" s="206"/>
      <c r="AA177" s="206"/>
      <c r="AB177" s="206"/>
      <c r="AC177" s="206"/>
      <c r="AD177" s="206"/>
      <c r="AE177" s="206"/>
      <c r="AF177" s="206"/>
      <c r="AG177" s="206"/>
      <c r="AH177" s="212"/>
      <c r="AL177" s="149">
        <f>100-SUM($U$174:$U$176)</f>
        <v>100</v>
      </c>
    </row>
    <row r="178" spans="3:38" s="106" customFormat="1" ht="15" customHeight="1">
      <c r="C178" s="6"/>
      <c r="AL178" s="148" t="s">
        <v>995</v>
      </c>
    </row>
    <row r="179" spans="3:38" s="106" customFormat="1" ht="15" customHeight="1">
      <c r="C179" s="140" t="s">
        <v>1007</v>
      </c>
      <c r="D179" s="141"/>
      <c r="E179" s="141"/>
      <c r="F179" s="141"/>
      <c r="G179" s="141"/>
      <c r="H179" s="144"/>
      <c r="I179" s="144"/>
      <c r="J179" s="144"/>
      <c r="K179" s="144"/>
      <c r="L179" s="144"/>
      <c r="M179" s="144"/>
      <c r="N179" s="144"/>
      <c r="O179" s="144"/>
      <c r="P179" s="146"/>
      <c r="Q179" s="146"/>
      <c r="R179" s="146"/>
      <c r="S179" s="146"/>
      <c r="T179" s="146"/>
      <c r="U179" s="146"/>
      <c r="V179" s="146"/>
      <c r="W179" s="146"/>
      <c r="X179" s="146"/>
      <c r="Y179" s="146"/>
      <c r="Z179" s="146"/>
      <c r="AA179" s="146"/>
      <c r="AB179" s="146"/>
      <c r="AC179" s="146"/>
      <c r="AD179" s="146"/>
      <c r="AE179" s="146"/>
      <c r="AF179" s="146"/>
      <c r="AG179" s="146"/>
      <c r="AH179" s="147"/>
    </row>
    <row r="180" spans="3:38" s="106" customFormat="1" ht="6.75" customHeight="1">
      <c r="C180" s="156"/>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34"/>
    </row>
    <row r="181" spans="3:38" s="106" customFormat="1" ht="15" customHeight="1">
      <c r="C181" s="156" t="s">
        <v>999</v>
      </c>
      <c r="D181" s="105" t="s">
        <v>825</v>
      </c>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417"/>
      <c r="AD181" s="418"/>
      <c r="AE181" s="419"/>
      <c r="AF181" s="13"/>
      <c r="AG181" s="13"/>
      <c r="AH181" s="34"/>
    </row>
    <row r="182" spans="3:38" s="106" customFormat="1" ht="6.75" customHeight="1">
      <c r="C182" s="156"/>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c r="AD182" s="13"/>
      <c r="AE182" s="13"/>
      <c r="AF182" s="13"/>
      <c r="AG182" s="13"/>
      <c r="AH182" s="34"/>
    </row>
    <row r="183" spans="3:38" s="106" customFormat="1" ht="15" customHeight="1">
      <c r="C183" s="156" t="s">
        <v>999</v>
      </c>
      <c r="D183" s="105" t="s">
        <v>828</v>
      </c>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417"/>
      <c r="AD183" s="418"/>
      <c r="AE183" s="419"/>
      <c r="AF183" s="13"/>
      <c r="AG183" s="13"/>
      <c r="AH183" s="34"/>
    </row>
    <row r="184" spans="3:38" s="106" customFormat="1" ht="6.75" customHeight="1">
      <c r="C184" s="156"/>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34"/>
    </row>
    <row r="185" spans="3:38" s="106" customFormat="1" ht="15" customHeight="1">
      <c r="C185" s="400" t="s">
        <v>996</v>
      </c>
      <c r="D185" s="401"/>
      <c r="E185" s="401"/>
      <c r="F185" s="401"/>
      <c r="G185" s="401"/>
      <c r="H185" s="401"/>
      <c r="I185" s="401"/>
      <c r="J185" s="401"/>
      <c r="K185" s="402"/>
      <c r="L185" s="253"/>
      <c r="M185" s="412"/>
      <c r="N185" s="412"/>
      <c r="O185" s="412"/>
      <c r="P185" s="412"/>
      <c r="Q185" s="412"/>
      <c r="R185" s="413"/>
      <c r="S185" s="406" t="s">
        <v>997</v>
      </c>
      <c r="T185" s="407"/>
      <c r="U185" s="407"/>
      <c r="V185" s="407"/>
      <c r="W185" s="407"/>
      <c r="X185" s="407"/>
      <c r="Y185" s="407"/>
      <c r="Z185" s="407"/>
      <c r="AA185" s="407"/>
      <c r="AB185" s="408"/>
      <c r="AC185" s="396"/>
      <c r="AD185" s="397"/>
      <c r="AE185" s="397"/>
      <c r="AF185" s="397"/>
      <c r="AG185" s="397"/>
      <c r="AH185" s="398"/>
    </row>
    <row r="186" spans="3:38" s="106" customFormat="1" ht="15" customHeight="1">
      <c r="C186" s="403" t="s">
        <v>998</v>
      </c>
      <c r="D186" s="404"/>
      <c r="E186" s="404"/>
      <c r="F186" s="404"/>
      <c r="G186" s="404"/>
      <c r="H186" s="404"/>
      <c r="I186" s="404"/>
      <c r="J186" s="404"/>
      <c r="K186" s="405"/>
      <c r="L186" s="414"/>
      <c r="M186" s="415"/>
      <c r="N186" s="415"/>
      <c r="O186" s="415"/>
      <c r="P186" s="415"/>
      <c r="Q186" s="415"/>
      <c r="R186" s="416"/>
      <c r="S186" s="409"/>
      <c r="T186" s="410"/>
      <c r="U186" s="410"/>
      <c r="V186" s="410"/>
      <c r="W186" s="410"/>
      <c r="X186" s="410"/>
      <c r="Y186" s="410"/>
      <c r="Z186" s="410"/>
      <c r="AA186" s="410"/>
      <c r="AB186" s="411"/>
      <c r="AC186" s="266"/>
      <c r="AD186" s="267"/>
      <c r="AE186" s="267"/>
      <c r="AF186" s="267"/>
      <c r="AG186" s="267"/>
      <c r="AH186" s="268"/>
    </row>
    <row r="187" spans="3:38" s="106" customFormat="1" ht="15" customHeight="1">
      <c r="C187" s="155"/>
    </row>
    <row r="188" spans="3:38" s="106" customFormat="1" ht="15" customHeight="1">
      <c r="C188" s="140" t="s">
        <v>1008</v>
      </c>
      <c r="D188" s="141"/>
      <c r="E188" s="141"/>
      <c r="F188" s="141"/>
      <c r="G188" s="141"/>
      <c r="H188" s="144"/>
      <c r="I188" s="144"/>
      <c r="J188" s="144"/>
      <c r="K188" s="144"/>
      <c r="L188" s="144"/>
      <c r="M188" s="144"/>
      <c r="N188" s="144"/>
      <c r="O188" s="144"/>
      <c r="P188" s="146"/>
      <c r="Q188" s="146"/>
      <c r="R188" s="146"/>
      <c r="S188" s="146"/>
      <c r="T188" s="146"/>
      <c r="U188" s="146"/>
      <c r="V188" s="146"/>
      <c r="W188" s="146"/>
      <c r="X188" s="146"/>
      <c r="Y188" s="146"/>
      <c r="Z188" s="146"/>
      <c r="AA188" s="146"/>
      <c r="AB188" s="146"/>
      <c r="AC188" s="146"/>
      <c r="AD188" s="146"/>
      <c r="AE188" s="146"/>
      <c r="AF188" s="146"/>
      <c r="AG188" s="146"/>
      <c r="AH188" s="147"/>
    </row>
    <row r="189" spans="3:38" s="106" customFormat="1" ht="6.75" customHeight="1">
      <c r="C189" s="156"/>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34"/>
    </row>
    <row r="190" spans="3:38" s="106" customFormat="1" ht="15" customHeight="1">
      <c r="C190" s="33" t="s">
        <v>949</v>
      </c>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34"/>
    </row>
    <row r="191" spans="3:38" s="106" customFormat="1" ht="6.75" customHeight="1">
      <c r="C191" s="156"/>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34"/>
    </row>
    <row r="192" spans="3:38" s="106" customFormat="1" ht="15" customHeight="1">
      <c r="C192" s="251" t="s">
        <v>952</v>
      </c>
      <c r="D192" s="251"/>
      <c r="E192" s="251"/>
      <c r="F192" s="251"/>
      <c r="G192" s="251"/>
      <c r="H192" s="251"/>
      <c r="I192" s="251"/>
      <c r="J192" s="251"/>
      <c r="K192" s="251"/>
      <c r="L192" s="252"/>
      <c r="M192" s="252"/>
      <c r="N192" s="252"/>
      <c r="O192" s="252"/>
      <c r="P192" s="252"/>
      <c r="Q192" s="253"/>
      <c r="R192" s="10"/>
      <c r="S192" s="251" t="s">
        <v>960</v>
      </c>
      <c r="T192" s="251"/>
      <c r="U192" s="251"/>
      <c r="V192" s="251"/>
      <c r="W192" s="251"/>
      <c r="X192" s="251"/>
      <c r="Y192" s="251"/>
      <c r="Z192" s="251"/>
      <c r="AA192" s="251"/>
      <c r="AB192" s="251"/>
      <c r="AC192" s="252"/>
      <c r="AD192" s="252"/>
      <c r="AE192" s="252"/>
      <c r="AF192" s="252"/>
      <c r="AG192" s="252"/>
      <c r="AH192" s="252"/>
    </row>
    <row r="193" spans="3:34" s="106" customFormat="1" ht="15" customHeight="1">
      <c r="C193" s="251" t="s">
        <v>954</v>
      </c>
      <c r="D193" s="251"/>
      <c r="E193" s="251"/>
      <c r="F193" s="251"/>
      <c r="G193" s="251"/>
      <c r="H193" s="251"/>
      <c r="I193" s="251"/>
      <c r="J193" s="251"/>
      <c r="K193" s="251"/>
      <c r="L193" s="252"/>
      <c r="M193" s="252"/>
      <c r="N193" s="252"/>
      <c r="O193" s="252"/>
      <c r="P193" s="252"/>
      <c r="Q193" s="253"/>
      <c r="R193" s="10"/>
      <c r="S193" s="251" t="s">
        <v>962</v>
      </c>
      <c r="T193" s="251"/>
      <c r="U193" s="251"/>
      <c r="V193" s="251"/>
      <c r="W193" s="251"/>
      <c r="X193" s="251"/>
      <c r="Y193" s="251"/>
      <c r="Z193" s="251"/>
      <c r="AA193" s="251"/>
      <c r="AB193" s="251"/>
      <c r="AC193" s="252"/>
      <c r="AD193" s="252"/>
      <c r="AE193" s="252"/>
      <c r="AF193" s="252"/>
      <c r="AG193" s="252"/>
      <c r="AH193" s="252"/>
    </row>
    <row r="194" spans="3:34" s="106" customFormat="1" ht="15" customHeight="1">
      <c r="C194" s="251" t="s">
        <v>956</v>
      </c>
      <c r="D194" s="251"/>
      <c r="E194" s="251"/>
      <c r="F194" s="251"/>
      <c r="G194" s="251"/>
      <c r="H194" s="251"/>
      <c r="I194" s="251"/>
      <c r="J194" s="251"/>
      <c r="K194" s="251"/>
      <c r="L194" s="252"/>
      <c r="M194" s="252"/>
      <c r="N194" s="252"/>
      <c r="O194" s="252"/>
      <c r="P194" s="252"/>
      <c r="Q194" s="253"/>
      <c r="R194" s="10"/>
      <c r="S194" s="251" t="s">
        <v>964</v>
      </c>
      <c r="T194" s="251"/>
      <c r="U194" s="251"/>
      <c r="V194" s="251"/>
      <c r="W194" s="251"/>
      <c r="X194" s="251"/>
      <c r="Y194" s="251"/>
      <c r="Z194" s="251"/>
      <c r="AA194" s="251"/>
      <c r="AB194" s="251"/>
      <c r="AC194" s="252"/>
      <c r="AD194" s="252"/>
      <c r="AE194" s="252"/>
      <c r="AF194" s="252"/>
      <c r="AG194" s="252"/>
      <c r="AH194" s="252"/>
    </row>
    <row r="195" spans="3:34" s="106" customFormat="1" ht="15" customHeight="1">
      <c r="C195" s="251" t="s">
        <v>958</v>
      </c>
      <c r="D195" s="251"/>
      <c r="E195" s="251"/>
      <c r="F195" s="251"/>
      <c r="G195" s="251"/>
      <c r="H195" s="251"/>
      <c r="I195" s="251"/>
      <c r="J195" s="251"/>
      <c r="K195" s="251"/>
      <c r="L195" s="252"/>
      <c r="M195" s="252"/>
      <c r="N195" s="252"/>
      <c r="O195" s="252"/>
      <c r="P195" s="252"/>
      <c r="Q195" s="253"/>
      <c r="R195" s="10"/>
      <c r="S195" s="251" t="s">
        <v>966</v>
      </c>
      <c r="T195" s="251"/>
      <c r="U195" s="251"/>
      <c r="V195" s="251"/>
      <c r="W195" s="251"/>
      <c r="X195" s="251"/>
      <c r="Y195" s="251"/>
      <c r="Z195" s="251"/>
      <c r="AA195" s="251"/>
      <c r="AB195" s="251"/>
      <c r="AC195" s="252"/>
      <c r="AD195" s="252"/>
      <c r="AE195" s="252"/>
      <c r="AF195" s="252"/>
      <c r="AG195" s="252"/>
      <c r="AH195" s="252"/>
    </row>
    <row r="196" spans="3:34" s="106" customFormat="1" ht="15" customHeight="1">
      <c r="C196" s="399" t="s">
        <v>950</v>
      </c>
      <c r="D196" s="399"/>
      <c r="E196" s="399"/>
      <c r="F196" s="399"/>
      <c r="G196" s="399"/>
      <c r="H196" s="399"/>
      <c r="I196" s="399"/>
      <c r="J196" s="399"/>
      <c r="K196" s="399"/>
      <c r="L196" s="252"/>
      <c r="M196" s="252"/>
      <c r="N196" s="252"/>
      <c r="O196" s="252"/>
      <c r="P196" s="252"/>
      <c r="Q196" s="252"/>
      <c r="R196" s="252"/>
      <c r="S196" s="252"/>
      <c r="T196" s="252"/>
      <c r="U196" s="252"/>
      <c r="V196" s="252"/>
      <c r="W196" s="252"/>
      <c r="X196" s="252"/>
      <c r="Y196" s="252"/>
      <c r="Z196" s="252"/>
      <c r="AA196" s="252"/>
      <c r="AB196" s="252"/>
      <c r="AC196" s="252"/>
      <c r="AD196" s="252"/>
      <c r="AE196" s="252"/>
      <c r="AF196" s="252"/>
      <c r="AG196" s="252"/>
      <c r="AH196" s="252"/>
    </row>
    <row r="197" spans="3:34" s="106" customFormat="1" ht="15" customHeight="1"/>
    <row r="198" spans="3:34" s="106" customFormat="1" ht="15" customHeight="1">
      <c r="C198" s="140" t="s">
        <v>1073</v>
      </c>
      <c r="D198" s="141"/>
      <c r="E198" s="141"/>
      <c r="F198" s="141"/>
      <c r="G198" s="141"/>
      <c r="H198" s="144"/>
      <c r="I198" s="144"/>
      <c r="J198" s="144"/>
      <c r="K198" s="145"/>
      <c r="L198" s="158"/>
      <c r="M198" s="144"/>
      <c r="N198" s="144"/>
      <c r="O198" s="202" t="s">
        <v>1072</v>
      </c>
      <c r="P198" s="146"/>
      <c r="Q198" s="146"/>
      <c r="R198" s="147"/>
      <c r="S198" s="159"/>
      <c r="T198" s="146"/>
      <c r="U198" s="146"/>
      <c r="V198" s="146"/>
      <c r="W198" s="146"/>
      <c r="X198" s="146"/>
      <c r="Y198" s="146"/>
      <c r="Z198" s="146"/>
      <c r="AA198" s="146"/>
      <c r="AB198" s="146"/>
      <c r="AC198" s="146"/>
      <c r="AD198" s="146"/>
      <c r="AE198" s="146"/>
      <c r="AF198" s="146"/>
      <c r="AG198" s="146"/>
      <c r="AH198" s="147"/>
    </row>
    <row r="199" spans="3:34" s="106" customFormat="1" ht="15" customHeight="1">
      <c r="C199" s="140" t="s">
        <v>1074</v>
      </c>
      <c r="D199" s="141"/>
      <c r="E199" s="141"/>
      <c r="F199" s="141"/>
      <c r="G199" s="141"/>
      <c r="H199" s="144"/>
      <c r="I199" s="144"/>
      <c r="J199" s="144"/>
      <c r="K199" s="145"/>
      <c r="L199" s="158"/>
      <c r="M199" s="144"/>
      <c r="N199" s="144"/>
      <c r="O199" s="144"/>
      <c r="P199" s="146"/>
      <c r="Q199" s="146"/>
      <c r="R199" s="147"/>
      <c r="S199" s="159"/>
      <c r="T199" s="146"/>
      <c r="U199" s="146"/>
      <c r="V199" s="146"/>
      <c r="W199" s="146"/>
      <c r="X199" s="146"/>
      <c r="Y199" s="146"/>
      <c r="Z199" s="146"/>
      <c r="AA199" s="146"/>
      <c r="AB199" s="146"/>
      <c r="AC199" s="146"/>
      <c r="AD199" s="146"/>
      <c r="AE199" s="146"/>
      <c r="AF199" s="146"/>
      <c r="AG199" s="146"/>
      <c r="AH199" s="147"/>
    </row>
    <row r="200" spans="3:34" s="106" customFormat="1" ht="6.75" hidden="1" customHeight="1">
      <c r="C200" s="156"/>
      <c r="D200" s="13"/>
      <c r="E200" s="13"/>
      <c r="F200" s="13"/>
      <c r="G200" s="13"/>
      <c r="H200" s="13"/>
      <c r="I200" s="13"/>
      <c r="J200" s="13"/>
      <c r="K200" s="34"/>
      <c r="L200" s="33"/>
      <c r="M200" s="13"/>
      <c r="N200" s="13"/>
      <c r="O200" s="13"/>
      <c r="P200" s="13"/>
      <c r="Q200" s="13"/>
      <c r="R200" s="13"/>
      <c r="S200" s="34"/>
      <c r="T200" s="13"/>
      <c r="U200" s="13"/>
      <c r="V200" s="13"/>
      <c r="W200" s="13"/>
      <c r="X200" s="13"/>
      <c r="Y200" s="13"/>
      <c r="Z200" s="13"/>
      <c r="AA200" s="34"/>
      <c r="AB200" s="33"/>
      <c r="AC200" s="13"/>
      <c r="AD200" s="13"/>
      <c r="AE200" s="13"/>
      <c r="AF200" s="13"/>
      <c r="AG200" s="13"/>
      <c r="AH200" s="34"/>
    </row>
    <row r="201" spans="3:34" s="106" customFormat="1" ht="21" customHeight="1">
      <c r="C201" s="269" t="s">
        <v>1070</v>
      </c>
      <c r="D201" s="270"/>
      <c r="E201" s="270"/>
      <c r="F201" s="270"/>
      <c r="G201" s="270"/>
      <c r="H201" s="270"/>
      <c r="I201" s="270"/>
      <c r="J201" s="270"/>
      <c r="K201" s="271"/>
      <c r="L201" s="263"/>
      <c r="M201" s="264"/>
      <c r="N201" s="264"/>
      <c r="O201" s="264"/>
      <c r="P201" s="264"/>
      <c r="Q201" s="264"/>
      <c r="R201" s="264"/>
      <c r="S201" s="265"/>
      <c r="T201" s="266" t="s">
        <v>1000</v>
      </c>
      <c r="U201" s="267"/>
      <c r="V201" s="267"/>
      <c r="W201" s="267"/>
      <c r="X201" s="267"/>
      <c r="Y201" s="267"/>
      <c r="Z201" s="267"/>
      <c r="AA201" s="268"/>
      <c r="AB201" s="263"/>
      <c r="AC201" s="264"/>
      <c r="AD201" s="264"/>
      <c r="AE201" s="264"/>
      <c r="AF201" s="264"/>
      <c r="AG201" s="264"/>
      <c r="AH201" s="265"/>
    </row>
    <row r="202" spans="3:34" s="106" customFormat="1" ht="9.75" customHeight="1"/>
    <row r="203" spans="3:34" s="106" customFormat="1" ht="15" customHeight="1">
      <c r="C203" s="140" t="s">
        <v>1068</v>
      </c>
      <c r="D203" s="141"/>
      <c r="E203" s="141"/>
      <c r="F203" s="141"/>
      <c r="G203" s="141"/>
      <c r="H203" s="144"/>
      <c r="I203" s="144"/>
      <c r="J203" s="144"/>
      <c r="K203" s="145"/>
      <c r="L203" s="158"/>
      <c r="M203" s="144"/>
      <c r="N203" s="144"/>
      <c r="O203" s="144"/>
      <c r="P203" s="146"/>
      <c r="Q203" s="146"/>
      <c r="R203" s="147"/>
      <c r="S203" s="159"/>
      <c r="T203" s="146"/>
      <c r="U203" s="146"/>
      <c r="V203" s="146"/>
      <c r="W203" s="146"/>
      <c r="X203" s="146"/>
      <c r="Y203" s="146"/>
      <c r="Z203" s="146"/>
      <c r="AA203" s="146"/>
      <c r="AB203" s="146"/>
      <c r="AC203" s="146"/>
      <c r="AD203" s="146"/>
      <c r="AE203" s="146"/>
      <c r="AF203" s="146"/>
      <c r="AG203" s="146"/>
      <c r="AH203" s="147"/>
    </row>
    <row r="204" spans="3:34" s="106" customFormat="1" ht="15" customHeight="1">
      <c r="C204" s="201" t="s">
        <v>1071</v>
      </c>
      <c r="D204" s="9"/>
      <c r="E204" s="9"/>
      <c r="F204" s="9"/>
      <c r="G204" s="9"/>
      <c r="H204" s="9"/>
      <c r="I204" s="9"/>
      <c r="J204" s="9"/>
      <c r="K204" s="10"/>
      <c r="L204" s="201" t="s">
        <v>1069</v>
      </c>
      <c r="M204" s="9"/>
      <c r="N204" s="9"/>
      <c r="O204" s="9"/>
      <c r="P204" s="9"/>
      <c r="Q204" s="9"/>
      <c r="R204" s="9"/>
      <c r="S204" s="10"/>
      <c r="T204" s="201" t="s">
        <v>1070</v>
      </c>
      <c r="U204" s="9"/>
      <c r="V204" s="9"/>
      <c r="W204" s="9"/>
      <c r="X204" s="9"/>
      <c r="Y204" s="9"/>
      <c r="Z204" s="9"/>
      <c r="AA204" s="10"/>
      <c r="AB204" s="201" t="s">
        <v>879</v>
      </c>
      <c r="AC204" s="9"/>
      <c r="AD204" s="9"/>
      <c r="AE204" s="9"/>
      <c r="AF204" s="9"/>
      <c r="AG204" s="9"/>
      <c r="AH204" s="10"/>
    </row>
    <row r="205" spans="3:34" s="106" customFormat="1" ht="29.25" customHeight="1">
      <c r="C205" s="260"/>
      <c r="D205" s="261"/>
      <c r="E205" s="261"/>
      <c r="F205" s="261"/>
      <c r="G205" s="261"/>
      <c r="H205" s="261"/>
      <c r="I205" s="261"/>
      <c r="J205" s="261"/>
      <c r="K205" s="262"/>
      <c r="L205" s="260"/>
      <c r="M205" s="261"/>
      <c r="N205" s="261"/>
      <c r="O205" s="261"/>
      <c r="P205" s="261"/>
      <c r="Q205" s="261"/>
      <c r="R205" s="261"/>
      <c r="S205" s="262"/>
      <c r="T205" s="257"/>
      <c r="U205" s="258"/>
      <c r="V205" s="258"/>
      <c r="W205" s="258"/>
      <c r="X205" s="258"/>
      <c r="Y205" s="258"/>
      <c r="Z205" s="258"/>
      <c r="AA205" s="259"/>
      <c r="AB205" s="257"/>
      <c r="AC205" s="258"/>
      <c r="AD205" s="258"/>
      <c r="AE205" s="258"/>
      <c r="AF205" s="258"/>
      <c r="AG205" s="258"/>
      <c r="AH205" s="259"/>
    </row>
    <row r="206" spans="3:34" s="106" customFormat="1" ht="15" customHeight="1"/>
    <row r="207" spans="3:34" s="106" customFormat="1" ht="15" customHeight="1">
      <c r="C207" s="140" t="s">
        <v>1003</v>
      </c>
      <c r="D207" s="141"/>
      <c r="E207" s="141"/>
      <c r="F207" s="141"/>
      <c r="G207" s="141"/>
      <c r="H207" s="144"/>
      <c r="I207" s="144"/>
      <c r="J207" s="144"/>
      <c r="K207" s="144"/>
      <c r="L207" s="144"/>
      <c r="M207" s="144"/>
      <c r="N207" s="144"/>
      <c r="O207" s="144"/>
      <c r="P207" s="146"/>
      <c r="Q207" s="146"/>
      <c r="R207" s="146"/>
      <c r="S207" s="146"/>
      <c r="T207" s="146"/>
      <c r="U207" s="146"/>
      <c r="V207" s="146"/>
      <c r="W207" s="146"/>
      <c r="X207" s="146"/>
      <c r="Y207" s="146"/>
      <c r="Z207" s="146"/>
      <c r="AA207" s="146"/>
      <c r="AB207" s="146"/>
      <c r="AC207" s="146"/>
      <c r="AD207" s="146"/>
      <c r="AE207" s="146"/>
      <c r="AF207" s="146"/>
      <c r="AG207" s="146"/>
      <c r="AH207" s="147"/>
    </row>
    <row r="208" spans="3:34" s="106" customFormat="1" ht="6.75" customHeight="1">
      <c r="C208" s="156"/>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34"/>
    </row>
    <row r="209" spans="2:34" ht="19.5" hidden="1" customHeight="1">
      <c r="C209" s="77" t="s">
        <v>159</v>
      </c>
      <c r="D209" s="250" t="str">
        <f>TRIM(CONCATENATE(IF('Employee Data Form'!S9="","",UPPER('Employee Data Form'!S9))," ",IF('Employee Data Form'!AA9="","",UPPER('Employee Data Form'!AA9))," ",IF('Employee Data Form'!K9="","",UPPER('Employee Data Form'!K9))))</f>
        <v>SRIKANTH KOMMULA</v>
      </c>
      <c r="E209" s="250"/>
      <c r="F209" s="250"/>
      <c r="G209" s="250"/>
      <c r="H209" s="250"/>
      <c r="I209" s="250"/>
      <c r="J209" s="250"/>
      <c r="K209" s="250"/>
      <c r="L209" s="250"/>
      <c r="M209" s="250"/>
      <c r="N209" s="250"/>
      <c r="O209" s="250"/>
      <c r="P209" s="250"/>
      <c r="Q209" s="250"/>
      <c r="R209" s="7" t="s">
        <v>1001</v>
      </c>
      <c r="S209" s="13"/>
      <c r="T209" s="13"/>
      <c r="U209" s="13"/>
      <c r="V209" s="13"/>
      <c r="W209" s="13"/>
      <c r="X209" s="13"/>
      <c r="Y209" s="13"/>
      <c r="Z209" s="13"/>
      <c r="AA209" s="13"/>
      <c r="AB209" s="13"/>
      <c r="AC209" s="13"/>
      <c r="AD209" s="13"/>
      <c r="AE209" s="13"/>
      <c r="AF209" s="13"/>
      <c r="AG209" s="13"/>
      <c r="AH209" s="34"/>
    </row>
    <row r="210" spans="2:34" ht="20.25" hidden="1" customHeight="1">
      <c r="C210" s="254" t="s">
        <v>1002</v>
      </c>
      <c r="D210" s="255"/>
      <c r="E210" s="255"/>
      <c r="F210" s="255"/>
      <c r="G210" s="255"/>
      <c r="H210" s="255"/>
      <c r="I210" s="255"/>
      <c r="J210" s="255"/>
      <c r="K210" s="255"/>
      <c r="L210" s="255"/>
      <c r="M210" s="255"/>
      <c r="N210" s="255"/>
      <c r="O210" s="255"/>
      <c r="P210" s="255"/>
      <c r="Q210" s="255"/>
      <c r="R210" s="255"/>
      <c r="S210" s="255"/>
      <c r="T210" s="255"/>
      <c r="U210" s="255"/>
      <c r="V210" s="255"/>
      <c r="W210" s="255"/>
      <c r="X210" s="255"/>
      <c r="Y210" s="255"/>
      <c r="Z210" s="255"/>
      <c r="AA210" s="255"/>
      <c r="AB210" s="255"/>
      <c r="AC210" s="255"/>
      <c r="AD210" s="255"/>
      <c r="AE210" s="255"/>
      <c r="AF210" s="255"/>
      <c r="AG210" s="255"/>
      <c r="AH210" s="256"/>
    </row>
    <row r="211" spans="2:34" ht="15" hidden="1" customHeight="1">
      <c r="C211" s="247"/>
      <c r="D211" s="248"/>
      <c r="E211" s="248"/>
      <c r="F211" s="248"/>
      <c r="G211" s="248"/>
      <c r="H211" s="248"/>
      <c r="I211" s="248"/>
      <c r="J211" s="248"/>
      <c r="K211" s="248"/>
      <c r="L211" s="248"/>
      <c r="M211" s="248"/>
      <c r="N211" s="248"/>
      <c r="O211" s="248"/>
      <c r="P211" s="248"/>
      <c r="Q211" s="248"/>
      <c r="R211" s="248"/>
      <c r="S211" s="248"/>
      <c r="T211" s="248"/>
      <c r="U211" s="248"/>
      <c r="V211" s="248"/>
      <c r="W211" s="248"/>
      <c r="X211" s="248"/>
      <c r="Y211" s="248"/>
      <c r="Z211" s="248"/>
      <c r="AA211" s="248"/>
      <c r="AB211" s="248"/>
      <c r="AC211" s="248"/>
      <c r="AD211" s="248"/>
      <c r="AE211" s="248"/>
      <c r="AF211" s="248"/>
      <c r="AG211" s="248"/>
      <c r="AH211" s="249"/>
    </row>
    <row r="212" spans="2:34" s="106" customFormat="1" ht="6.75" hidden="1" customHeight="1">
      <c r="C212" s="156"/>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34"/>
    </row>
    <row r="213" spans="2:34" s="106" customFormat="1" ht="19.5" customHeight="1">
      <c r="C213" s="77" t="s">
        <v>159</v>
      </c>
      <c r="D213" s="250" t="str">
        <f>TRIM(CONCATENATE(IF('Employee Data Form'!S9="","",UPPER('Employee Data Form'!S9))," ",IF('Employee Data Form'!AA9="","",UPPER('Employee Data Form'!AA9))," ",IF('Employee Data Form'!K9="","",UPPER('Employee Data Form'!K9))))</f>
        <v>SRIKANTH KOMMULA</v>
      </c>
      <c r="E213" s="250"/>
      <c r="F213" s="250"/>
      <c r="G213" s="250"/>
      <c r="H213" s="250"/>
      <c r="I213" s="250"/>
      <c r="J213" s="250"/>
      <c r="K213" s="250"/>
      <c r="L213" s="250"/>
      <c r="M213" s="250"/>
      <c r="N213" s="250"/>
      <c r="O213" s="250"/>
      <c r="P213" s="250"/>
      <c r="Q213" s="250"/>
      <c r="R213" s="7" t="s">
        <v>1032</v>
      </c>
      <c r="S213" s="13"/>
      <c r="T213" s="13"/>
      <c r="U213" s="13"/>
      <c r="V213" s="13"/>
      <c r="W213" s="13"/>
      <c r="X213" s="13"/>
      <c r="Y213" s="13"/>
      <c r="Z213" s="13"/>
      <c r="AA213" s="13"/>
      <c r="AB213" s="13"/>
      <c r="AC213" s="13"/>
      <c r="AD213" s="13"/>
      <c r="AE213" s="13"/>
      <c r="AF213" s="13"/>
      <c r="AG213" s="13"/>
      <c r="AH213" s="34"/>
    </row>
    <row r="214" spans="2:34" s="106" customFormat="1" ht="98.25" customHeight="1">
      <c r="C214" s="247" t="s">
        <v>1049</v>
      </c>
      <c r="D214" s="248"/>
      <c r="E214" s="248"/>
      <c r="F214" s="248"/>
      <c r="G214" s="248"/>
      <c r="H214" s="248"/>
      <c r="I214" s="248"/>
      <c r="J214" s="248"/>
      <c r="K214" s="248"/>
      <c r="L214" s="248"/>
      <c r="M214" s="248"/>
      <c r="N214" s="248"/>
      <c r="O214" s="248"/>
      <c r="P214" s="248"/>
      <c r="Q214" s="248"/>
      <c r="R214" s="248"/>
      <c r="S214" s="248"/>
      <c r="T214" s="248"/>
      <c r="U214" s="248"/>
      <c r="V214" s="248"/>
      <c r="W214" s="248"/>
      <c r="X214" s="248"/>
      <c r="Y214" s="248"/>
      <c r="Z214" s="248"/>
      <c r="AA214" s="248"/>
      <c r="AB214" s="248"/>
      <c r="AC214" s="248"/>
      <c r="AD214" s="248"/>
      <c r="AE214" s="248"/>
      <c r="AF214" s="248"/>
      <c r="AG214" s="248"/>
      <c r="AH214" s="249"/>
    </row>
    <row r="215" spans="2:34" s="106" customFormat="1" ht="15" customHeight="1">
      <c r="C215" s="6"/>
    </row>
    <row r="216" spans="2:34" s="106" customFormat="1" ht="15" customHeight="1">
      <c r="C216" s="6"/>
    </row>
    <row r="217" spans="2:34" ht="15" customHeight="1">
      <c r="B217" s="194">
        <v>1</v>
      </c>
      <c r="C217" s="196" t="s">
        <v>1051</v>
      </c>
      <c r="D217" s="195"/>
      <c r="E217" s="195"/>
      <c r="F217" s="195"/>
      <c r="G217" s="13"/>
      <c r="H217" s="13"/>
      <c r="I217" s="25" t="str">
        <f>TRIM(CONCATENATE(IF('Employee Data Form'!S9="","",UPPER('Employee Data Form'!S9))," ",IF('Employee Data Form'!AA9="","",UPPER('Employee Data Form'!AA9))," ",IF('Employee Data Form'!K9="","",UPPER('Employee Data Form'!K9))))</f>
        <v>SRIKANTH KOMMULA</v>
      </c>
      <c r="J217" s="25"/>
      <c r="K217" s="25"/>
      <c r="L217" s="25"/>
      <c r="M217" s="25"/>
      <c r="N217" s="25"/>
      <c r="O217" s="25"/>
      <c r="P217" s="25"/>
      <c r="Q217" s="25"/>
      <c r="R217" s="25"/>
      <c r="S217" s="25"/>
      <c r="T217" s="25"/>
    </row>
    <row r="218" spans="2:34" ht="15" customHeight="1">
      <c r="C218" s="12" t="s">
        <v>85</v>
      </c>
      <c r="D218" s="1"/>
      <c r="E218"/>
      <c r="F218"/>
      <c r="G218"/>
      <c r="H218" s="305" t="str">
        <f ca="1">UPPER(TEXT(TODAY(),"DD-MMM-YYYY"))</f>
        <v>30-NOV-2022</v>
      </c>
      <c r="I218" s="305"/>
      <c r="J218" s="305"/>
      <c r="K218" s="305"/>
      <c r="L218" s="305"/>
      <c r="M218" s="305"/>
      <c r="Y218" s="333" t="s">
        <v>49</v>
      </c>
      <c r="Z218" s="334"/>
      <c r="AA218" s="227"/>
      <c r="AB218" s="224"/>
      <c r="AC218" s="224"/>
      <c r="AD218" s="224"/>
      <c r="AE218" s="224"/>
      <c r="AF218" s="224"/>
      <c r="AG218" s="224"/>
      <c r="AH218" s="225"/>
    </row>
    <row r="219" spans="2:34" ht="15" customHeight="1"/>
    <row r="220" spans="2:34" ht="15" customHeight="1"/>
    <row r="221" spans="2:34" ht="15" customHeight="1">
      <c r="R221" s="20">
        <v>5</v>
      </c>
    </row>
    <row r="222" spans="2:34" s="106" customFormat="1" ht="15" customHeight="1">
      <c r="X222" s="58"/>
      <c r="AA222" s="58"/>
    </row>
    <row r="223" spans="2:34" s="106" customFormat="1" ht="15" customHeight="1">
      <c r="X223" s="58"/>
      <c r="AA223" s="58"/>
    </row>
    <row r="224" spans="2:34" s="106" customFormat="1" ht="15" customHeight="1">
      <c r="Z224" s="200" t="s">
        <v>1064</v>
      </c>
    </row>
    <row r="225" ht="15" hidden="1" customHeight="1"/>
    <row r="226" ht="15" hidden="1" customHeight="1"/>
    <row r="227" ht="15" hidden="1" customHeight="1"/>
    <row r="228" ht="15" hidden="1" customHeight="1"/>
    <row r="354"/>
  </sheetData>
  <sheetProtection password="C528" sheet="1" selectLockedCells="1"/>
  <dataConsolidate/>
  <mergeCells count="444">
    <mergeCell ref="C150:AH151"/>
    <mergeCell ref="J128:O128"/>
    <mergeCell ref="AC185:AH185"/>
    <mergeCell ref="C196:K196"/>
    <mergeCell ref="L196:AH196"/>
    <mergeCell ref="Y145:AH145"/>
    <mergeCell ref="C146:L146"/>
    <mergeCell ref="M146:T146"/>
    <mergeCell ref="U146:X146"/>
    <mergeCell ref="Y146:AH146"/>
    <mergeCell ref="AC194:AH194"/>
    <mergeCell ref="AC195:AH195"/>
    <mergeCell ref="C185:K185"/>
    <mergeCell ref="C186:K186"/>
    <mergeCell ref="S185:AB186"/>
    <mergeCell ref="L185:R185"/>
    <mergeCell ref="L186:R186"/>
    <mergeCell ref="AC186:AH186"/>
    <mergeCell ref="L193:Q193"/>
    <mergeCell ref="L192:Q192"/>
    <mergeCell ref="AC181:AE181"/>
    <mergeCell ref="AC183:AE183"/>
    <mergeCell ref="AC192:AH192"/>
    <mergeCell ref="AC193:AH193"/>
    <mergeCell ref="S193:AB193"/>
    <mergeCell ref="S192:AB192"/>
    <mergeCell ref="C192:K192"/>
    <mergeCell ref="C193:K193"/>
    <mergeCell ref="C194:K194"/>
    <mergeCell ref="AE44:AH44"/>
    <mergeCell ref="AE43:AH43"/>
    <mergeCell ref="Y49:Z49"/>
    <mergeCell ref="AE48:AH48"/>
    <mergeCell ref="C143:L143"/>
    <mergeCell ref="M143:T143"/>
    <mergeCell ref="U143:X143"/>
    <mergeCell ref="Y143:AH143"/>
    <mergeCell ref="C144:L144"/>
    <mergeCell ref="M144:T144"/>
    <mergeCell ref="U144:X144"/>
    <mergeCell ref="Y144:AH144"/>
    <mergeCell ref="C50:AH50"/>
    <mergeCell ref="C141:AH142"/>
    <mergeCell ref="C68:D68"/>
    <mergeCell ref="AE46:AH46"/>
    <mergeCell ref="AE47:AH47"/>
    <mergeCell ref="W88:AH88"/>
    <mergeCell ref="W84:AH84"/>
    <mergeCell ref="AA42:AD42"/>
    <mergeCell ref="W44:X44"/>
    <mergeCell ref="K79:V79"/>
    <mergeCell ref="K88:V88"/>
    <mergeCell ref="W48:X48"/>
    <mergeCell ref="Z83:AA83"/>
    <mergeCell ref="F49:O49"/>
    <mergeCell ref="AA48:AD48"/>
    <mergeCell ref="AA49:AD49"/>
    <mergeCell ref="Y48:Z48"/>
    <mergeCell ref="AA43:AD43"/>
    <mergeCell ref="AA44:AD44"/>
    <mergeCell ref="AA45:AD45"/>
    <mergeCell ref="AA46:AD46"/>
    <mergeCell ref="AA47:AD47"/>
    <mergeCell ref="T57:Y57"/>
    <mergeCell ref="Y46:Z46"/>
    <mergeCell ref="P48:T48"/>
    <mergeCell ref="E68:F68"/>
    <mergeCell ref="I68:J68"/>
    <mergeCell ref="E64:F64"/>
    <mergeCell ref="W47:X47"/>
    <mergeCell ref="Y47:Z47"/>
    <mergeCell ref="W46:X46"/>
    <mergeCell ref="W79:AH79"/>
    <mergeCell ref="W89:AH89"/>
    <mergeCell ref="K87:V87"/>
    <mergeCell ref="W87:AH87"/>
    <mergeCell ref="K82:V82"/>
    <mergeCell ref="W86:AH86"/>
    <mergeCell ref="W82:AH82"/>
    <mergeCell ref="W80:AH80"/>
    <mergeCell ref="K89:V89"/>
    <mergeCell ref="W81:AH81"/>
    <mergeCell ref="K80:V80"/>
    <mergeCell ref="C85:J85"/>
    <mergeCell ref="K85:V85"/>
    <mergeCell ref="U83:V83"/>
    <mergeCell ref="C64:D64"/>
    <mergeCell ref="K68:S68"/>
    <mergeCell ref="T68:AA68"/>
    <mergeCell ref="S83:T83"/>
    <mergeCell ref="L83:M83"/>
    <mergeCell ref="K84:V84"/>
    <mergeCell ref="C84:J84"/>
    <mergeCell ref="C67:D67"/>
    <mergeCell ref="E67:F67"/>
    <mergeCell ref="C66:D66"/>
    <mergeCell ref="T67:AA67"/>
    <mergeCell ref="E66:F66"/>
    <mergeCell ref="I66:J66"/>
    <mergeCell ref="C65:D65"/>
    <mergeCell ref="E65:F65"/>
    <mergeCell ref="C80:J81"/>
    <mergeCell ref="W85:AH85"/>
    <mergeCell ref="X83:Y83"/>
    <mergeCell ref="P83:Q83"/>
    <mergeCell ref="AE83:AF83"/>
    <mergeCell ref="AG83:AH83"/>
    <mergeCell ref="AB64:AH64"/>
    <mergeCell ref="T66:AA66"/>
    <mergeCell ref="AB65:AH65"/>
    <mergeCell ref="K66:S66"/>
    <mergeCell ref="E63:F63"/>
    <mergeCell ref="G68:H68"/>
    <mergeCell ref="AB67:AH67"/>
    <mergeCell ref="G67:H67"/>
    <mergeCell ref="I67:J67"/>
    <mergeCell ref="G66:H66"/>
    <mergeCell ref="K67:S67"/>
    <mergeCell ref="AB68:AH68"/>
    <mergeCell ref="I65:J65"/>
    <mergeCell ref="I64:J64"/>
    <mergeCell ref="Z54:AE54"/>
    <mergeCell ref="AF54:AH54"/>
    <mergeCell ref="Z55:AE55"/>
    <mergeCell ref="AF55:AH55"/>
    <mergeCell ref="C56:D56"/>
    <mergeCell ref="AF56:AH56"/>
    <mergeCell ref="T56:Y56"/>
    <mergeCell ref="N56:S56"/>
    <mergeCell ref="AB63:AH63"/>
    <mergeCell ref="N54:S54"/>
    <mergeCell ref="Z56:AE56"/>
    <mergeCell ref="Z57:AE57"/>
    <mergeCell ref="AB62:AH62"/>
    <mergeCell ref="AB66:AH66"/>
    <mergeCell ref="K81:V81"/>
    <mergeCell ref="H55:M55"/>
    <mergeCell ref="P128:V128"/>
    <mergeCell ref="C95:J95"/>
    <mergeCell ref="N57:S57"/>
    <mergeCell ref="E58:G58"/>
    <mergeCell ref="C54:D54"/>
    <mergeCell ref="I63:J63"/>
    <mergeCell ref="E56:G56"/>
    <mergeCell ref="H56:M56"/>
    <mergeCell ref="H58:M58"/>
    <mergeCell ref="C62:F62"/>
    <mergeCell ref="C55:D55"/>
    <mergeCell ref="E55:G55"/>
    <mergeCell ref="C58:D58"/>
    <mergeCell ref="C57:D57"/>
    <mergeCell ref="G62:J62"/>
    <mergeCell ref="G64:H64"/>
    <mergeCell ref="T65:AA65"/>
    <mergeCell ref="AA9:AH9"/>
    <mergeCell ref="C44:E44"/>
    <mergeCell ref="F44:O44"/>
    <mergeCell ref="Y44:Z44"/>
    <mergeCell ref="Z53:AE53"/>
    <mergeCell ref="Z14:AH14"/>
    <mergeCell ref="AF53:AH53"/>
    <mergeCell ref="U47:V47"/>
    <mergeCell ref="U43:V43"/>
    <mergeCell ref="U44:V44"/>
    <mergeCell ref="T53:Y53"/>
    <mergeCell ref="H53:M53"/>
    <mergeCell ref="N53:S53"/>
    <mergeCell ref="P45:T45"/>
    <mergeCell ref="U46:V46"/>
    <mergeCell ref="C53:G53"/>
    <mergeCell ref="C48:E48"/>
    <mergeCell ref="C47:E47"/>
    <mergeCell ref="C49:E49"/>
    <mergeCell ref="U49:V49"/>
    <mergeCell ref="W49:X49"/>
    <mergeCell ref="P42:T42"/>
    <mergeCell ref="AE45:AH45"/>
    <mergeCell ref="F42:O42"/>
    <mergeCell ref="C12:H12"/>
    <mergeCell ref="K9:R9"/>
    <mergeCell ref="S9:Z9"/>
    <mergeCell ref="K10:R10"/>
    <mergeCell ref="S10:Z10"/>
    <mergeCell ref="K12:R12"/>
    <mergeCell ref="S12:Z12"/>
    <mergeCell ref="P49:T49"/>
    <mergeCell ref="C24:F24"/>
    <mergeCell ref="C28:Z28"/>
    <mergeCell ref="V22:Y22"/>
    <mergeCell ref="V24:X24"/>
    <mergeCell ref="U42:Z42"/>
    <mergeCell ref="F43:O43"/>
    <mergeCell ref="U48:V48"/>
    <mergeCell ref="F47:O47"/>
    <mergeCell ref="P43:T43"/>
    <mergeCell ref="P44:T44"/>
    <mergeCell ref="C43:E43"/>
    <mergeCell ref="Y43:Z43"/>
    <mergeCell ref="W43:X43"/>
    <mergeCell ref="K24:T24"/>
    <mergeCell ref="K26:T26"/>
    <mergeCell ref="K18:T18"/>
    <mergeCell ref="Q14:T14"/>
    <mergeCell ref="K14:L14"/>
    <mergeCell ref="N14:O14"/>
    <mergeCell ref="C18:F18"/>
    <mergeCell ref="Z26:AH26"/>
    <mergeCell ref="Z24:AH24"/>
    <mergeCell ref="C20:I20"/>
    <mergeCell ref="C22:G22"/>
    <mergeCell ref="K22:T22"/>
    <mergeCell ref="Z22:AH22"/>
    <mergeCell ref="V26:X26"/>
    <mergeCell ref="V18:Y18"/>
    <mergeCell ref="Z18:AH18"/>
    <mergeCell ref="K20:T20"/>
    <mergeCell ref="V20:Y20"/>
    <mergeCell ref="Z20:AH20"/>
    <mergeCell ref="C90:J90"/>
    <mergeCell ref="K86:V86"/>
    <mergeCell ref="AE42:AH42"/>
    <mergeCell ref="C42:E42"/>
    <mergeCell ref="AE49:AH49"/>
    <mergeCell ref="C45:E45"/>
    <mergeCell ref="C16:F16"/>
    <mergeCell ref="K16:T16"/>
    <mergeCell ref="V16:Y16"/>
    <mergeCell ref="Z16:AH16"/>
    <mergeCell ref="P47:T47"/>
    <mergeCell ref="F45:O45"/>
    <mergeCell ref="U45:V45"/>
    <mergeCell ref="C46:E46"/>
    <mergeCell ref="F46:O46"/>
    <mergeCell ref="P46:T46"/>
    <mergeCell ref="T54:Y54"/>
    <mergeCell ref="F48:O48"/>
    <mergeCell ref="E54:G54"/>
    <mergeCell ref="H54:M54"/>
    <mergeCell ref="Y45:Z45"/>
    <mergeCell ref="W45:X45"/>
    <mergeCell ref="N55:S55"/>
    <mergeCell ref="T55:Y55"/>
    <mergeCell ref="E57:G57"/>
    <mergeCell ref="H57:M57"/>
    <mergeCell ref="AF58:AH58"/>
    <mergeCell ref="N83:O83"/>
    <mergeCell ref="C87:J87"/>
    <mergeCell ref="C89:J89"/>
    <mergeCell ref="T58:Y58"/>
    <mergeCell ref="Z58:AE58"/>
    <mergeCell ref="AF57:AH57"/>
    <mergeCell ref="T63:AA63"/>
    <mergeCell ref="K63:S63"/>
    <mergeCell ref="T62:AA62"/>
    <mergeCell ref="K62:S62"/>
    <mergeCell ref="N58:S58"/>
    <mergeCell ref="C63:D63"/>
    <mergeCell ref="G65:H65"/>
    <mergeCell ref="AB83:AC83"/>
    <mergeCell ref="C86:J86"/>
    <mergeCell ref="G63:H63"/>
    <mergeCell ref="K65:S65"/>
    <mergeCell ref="C82:J82"/>
    <mergeCell ref="C83:J83"/>
    <mergeCell ref="K64:S64"/>
    <mergeCell ref="T64:AA64"/>
    <mergeCell ref="AA12:AH12"/>
    <mergeCell ref="W101:AH101"/>
    <mergeCell ref="AA218:AH218"/>
    <mergeCell ref="C129:I129"/>
    <mergeCell ref="W134:AB134"/>
    <mergeCell ref="AC134:AH134"/>
    <mergeCell ref="P126:V126"/>
    <mergeCell ref="W126:AA126"/>
    <mergeCell ref="C126:I126"/>
    <mergeCell ref="J126:O126"/>
    <mergeCell ref="AB127:AH127"/>
    <mergeCell ref="W127:AA127"/>
    <mergeCell ref="C104:AH104"/>
    <mergeCell ref="C106:AH110"/>
    <mergeCell ref="C112:AH114"/>
    <mergeCell ref="P127:V127"/>
    <mergeCell ref="AB126:AH126"/>
    <mergeCell ref="AE122:AH122"/>
    <mergeCell ref="W94:AH94"/>
    <mergeCell ref="K95:V95"/>
    <mergeCell ref="K96:V96"/>
    <mergeCell ref="Y218:Z218"/>
    <mergeCell ref="C96:J96"/>
    <mergeCell ref="C88:J88"/>
    <mergeCell ref="H218:M218"/>
    <mergeCell ref="K90:V90"/>
    <mergeCell ref="W90:AH90"/>
    <mergeCell ref="W135:AB135"/>
    <mergeCell ref="D209:Q209"/>
    <mergeCell ref="AC135:AH135"/>
    <mergeCell ref="W91:AH91"/>
    <mergeCell ref="K97:V97"/>
    <mergeCell ref="K98:V98"/>
    <mergeCell ref="K99:V99"/>
    <mergeCell ref="W95:AH95"/>
    <mergeCell ref="W96:AH96"/>
    <mergeCell ref="W97:AH97"/>
    <mergeCell ref="W98:AH98"/>
    <mergeCell ref="C98:J98"/>
    <mergeCell ref="C99:J99"/>
    <mergeCell ref="C100:J100"/>
    <mergeCell ref="C101:J101"/>
    <mergeCell ref="K94:V94"/>
    <mergeCell ref="K100:V100"/>
    <mergeCell ref="K101:V101"/>
    <mergeCell ref="M136:V136"/>
    <mergeCell ref="W99:AH99"/>
    <mergeCell ref="W100:AH100"/>
    <mergeCell ref="C97:J97"/>
    <mergeCell ref="K91:V91"/>
    <mergeCell ref="C93:AG93"/>
    <mergeCell ref="C133:D133"/>
    <mergeCell ref="E133:L133"/>
    <mergeCell ref="M133:V133"/>
    <mergeCell ref="W133:AB133"/>
    <mergeCell ref="AC133:AH133"/>
    <mergeCell ref="AB128:AH128"/>
    <mergeCell ref="C91:J91"/>
    <mergeCell ref="P129:V129"/>
    <mergeCell ref="J129:O129"/>
    <mergeCell ref="J127:O127"/>
    <mergeCell ref="C127:I127"/>
    <mergeCell ref="W128:AA128"/>
    <mergeCell ref="Y152:AH152"/>
    <mergeCell ref="C153:L153"/>
    <mergeCell ref="Y153:AH153"/>
    <mergeCell ref="C160:L160"/>
    <mergeCell ref="M160:T160"/>
    <mergeCell ref="U160:X160"/>
    <mergeCell ref="Y160:AH160"/>
    <mergeCell ref="C154:L154"/>
    <mergeCell ref="M153:X153"/>
    <mergeCell ref="M154:X154"/>
    <mergeCell ref="C152:L152"/>
    <mergeCell ref="M152:X152"/>
    <mergeCell ref="Y154:AH154"/>
    <mergeCell ref="C155:L155"/>
    <mergeCell ref="Y155:AH155"/>
    <mergeCell ref="U159:X159"/>
    <mergeCell ref="Y159:AH159"/>
    <mergeCell ref="C156:L156"/>
    <mergeCell ref="Y156:AH156"/>
    <mergeCell ref="C159:L159"/>
    <mergeCell ref="M155:X155"/>
    <mergeCell ref="M156:X156"/>
    <mergeCell ref="C147:L147"/>
    <mergeCell ref="M147:T147"/>
    <mergeCell ref="U147:X147"/>
    <mergeCell ref="W129:AA129"/>
    <mergeCell ref="AB129:AH129"/>
    <mergeCell ref="C128:I128"/>
    <mergeCell ref="Y147:AH147"/>
    <mergeCell ref="C145:L145"/>
    <mergeCell ref="M145:T145"/>
    <mergeCell ref="U145:X145"/>
    <mergeCell ref="M134:V134"/>
    <mergeCell ref="C134:D134"/>
    <mergeCell ref="C135:D135"/>
    <mergeCell ref="C136:D136"/>
    <mergeCell ref="E136:L136"/>
    <mergeCell ref="E135:L135"/>
    <mergeCell ref="M135:V135"/>
    <mergeCell ref="E134:L134"/>
    <mergeCell ref="W136:AB136"/>
    <mergeCell ref="AC136:AH136"/>
    <mergeCell ref="M159:T159"/>
    <mergeCell ref="C161:L161"/>
    <mergeCell ref="M161:T161"/>
    <mergeCell ref="U161:X161"/>
    <mergeCell ref="Y161:AH161"/>
    <mergeCell ref="C162:L162"/>
    <mergeCell ref="M162:T162"/>
    <mergeCell ref="U162:X162"/>
    <mergeCell ref="Y162:AH162"/>
    <mergeCell ref="C214:AH214"/>
    <mergeCell ref="D213:Q213"/>
    <mergeCell ref="C176:L176"/>
    <mergeCell ref="M176:T176"/>
    <mergeCell ref="Y176:AH176"/>
    <mergeCell ref="C177:L177"/>
    <mergeCell ref="M177:T177"/>
    <mergeCell ref="U177:X177"/>
    <mergeCell ref="Y177:AH177"/>
    <mergeCell ref="U176:X176"/>
    <mergeCell ref="C195:K195"/>
    <mergeCell ref="S195:AB195"/>
    <mergeCell ref="S194:AB194"/>
    <mergeCell ref="L195:Q195"/>
    <mergeCell ref="L194:Q194"/>
    <mergeCell ref="C210:AH211"/>
    <mergeCell ref="AB205:AH205"/>
    <mergeCell ref="C205:K205"/>
    <mergeCell ref="L205:S205"/>
    <mergeCell ref="T205:AA205"/>
    <mergeCell ref="L201:S201"/>
    <mergeCell ref="T201:AA201"/>
    <mergeCell ref="C201:K201"/>
    <mergeCell ref="AB201:AH201"/>
    <mergeCell ref="AA2:AF6"/>
    <mergeCell ref="AA7:AF7"/>
    <mergeCell ref="AE33:AH33"/>
    <mergeCell ref="AE30:AH30"/>
    <mergeCell ref="AB30:AD30"/>
    <mergeCell ref="F30:N30"/>
    <mergeCell ref="O30:Q30"/>
    <mergeCell ref="C14:G14"/>
    <mergeCell ref="V14:X14"/>
    <mergeCell ref="C33:E33"/>
    <mergeCell ref="F33:N33"/>
    <mergeCell ref="O33:Q33"/>
    <mergeCell ref="R33:AA33"/>
    <mergeCell ref="AB33:AD33"/>
    <mergeCell ref="C30:E30"/>
    <mergeCell ref="R30:AA30"/>
    <mergeCell ref="AA10:AH10"/>
    <mergeCell ref="K13:R13"/>
    <mergeCell ref="S13:Z13"/>
    <mergeCell ref="AA13:AH13"/>
    <mergeCell ref="C29:AH29"/>
    <mergeCell ref="C31:AH31"/>
    <mergeCell ref="C32:AH32"/>
    <mergeCell ref="C9:H9"/>
    <mergeCell ref="C174:L174"/>
    <mergeCell ref="M174:T174"/>
    <mergeCell ref="U174:X174"/>
    <mergeCell ref="Y174:AH174"/>
    <mergeCell ref="C175:L175"/>
    <mergeCell ref="M175:T175"/>
    <mergeCell ref="U175:X175"/>
    <mergeCell ref="Y175:AH175"/>
    <mergeCell ref="C163:L163"/>
    <mergeCell ref="M163:T163"/>
    <mergeCell ref="U163:X163"/>
    <mergeCell ref="Y163:AH163"/>
    <mergeCell ref="C173:L173"/>
    <mergeCell ref="M173:T173"/>
    <mergeCell ref="U173:X173"/>
    <mergeCell ref="Y173:AH173"/>
  </mergeCells>
  <conditionalFormatting sqref="E63:F63 I63:J63">
    <cfRule type="expression" dxfId="55" priority="137" stopIfTrue="1">
      <formula>$AL$63</formula>
    </cfRule>
  </conditionalFormatting>
  <conditionalFormatting sqref="K83:O83 R83:V83">
    <cfRule type="expression" dxfId="54" priority="131" stopIfTrue="1">
      <formula>$AL$83</formula>
    </cfRule>
  </conditionalFormatting>
  <conditionalFormatting sqref="W83:AA83 AD83:AH83">
    <cfRule type="expression" dxfId="53" priority="130" stopIfTrue="1">
      <formula>$AM$83</formula>
    </cfRule>
  </conditionalFormatting>
  <conditionalFormatting sqref="K83:O83 R83:AA83 AD83:AH83">
    <cfRule type="expression" dxfId="52" priority="129" stopIfTrue="1">
      <formula>$AN$83</formula>
    </cfRule>
  </conditionalFormatting>
  <conditionalFormatting sqref="U43:V43">
    <cfRule type="expression" dxfId="51" priority="128" stopIfTrue="1">
      <formula>AND(F43&lt;&gt;"",U43="")</formula>
    </cfRule>
  </conditionalFormatting>
  <conditionalFormatting sqref="W43:X43">
    <cfRule type="expression" dxfId="50" priority="127" stopIfTrue="1">
      <formula>AND(F43&lt;&gt;"",W43="")</formula>
    </cfRule>
  </conditionalFormatting>
  <conditionalFormatting sqref="Y43:Z43">
    <cfRule type="expression" dxfId="49" priority="126" stopIfTrue="1">
      <formula>AND(F43&lt;&gt;"",Y43="")</formula>
    </cfRule>
  </conditionalFormatting>
  <conditionalFormatting sqref="U44:V49">
    <cfRule type="expression" dxfId="48" priority="125" stopIfTrue="1">
      <formula>AND(F44&lt;&gt;"",U44="")</formula>
    </cfRule>
  </conditionalFormatting>
  <conditionalFormatting sqref="Y44:Z44">
    <cfRule type="expression" dxfId="47" priority="85" stopIfTrue="1">
      <formula>AND(F44&lt;&gt;"",Y44="")</formula>
    </cfRule>
  </conditionalFormatting>
  <conditionalFormatting sqref="Y45:Z45">
    <cfRule type="expression" dxfId="46" priority="84" stopIfTrue="1">
      <formula>AND(F45&lt;&gt;"",Y45="")</formula>
    </cfRule>
  </conditionalFormatting>
  <conditionalFormatting sqref="Y46:Z46">
    <cfRule type="expression" dxfId="45" priority="83" stopIfTrue="1">
      <formula>AND(F46&lt;&gt;"",Y46="")</formula>
    </cfRule>
  </conditionalFormatting>
  <conditionalFormatting sqref="Y47:Z47">
    <cfRule type="expression" dxfId="44" priority="82" stopIfTrue="1">
      <formula>AND(F47&lt;&gt;"",Y47="")</formula>
    </cfRule>
  </conditionalFormatting>
  <conditionalFormatting sqref="Y48:Z48">
    <cfRule type="expression" dxfId="43" priority="81" stopIfTrue="1">
      <formula>AND(F48&lt;&gt;"",Y48="")</formula>
    </cfRule>
  </conditionalFormatting>
  <conditionalFormatting sqref="Y49:Z49">
    <cfRule type="expression" dxfId="42" priority="80" stopIfTrue="1">
      <formula>AND(F49&lt;&gt;"",Y49="")</formula>
    </cfRule>
  </conditionalFormatting>
  <conditionalFormatting sqref="Z83:AA83">
    <cfRule type="expression" dxfId="41" priority="68" stopIfTrue="1">
      <formula>$AL$83</formula>
    </cfRule>
  </conditionalFormatting>
  <conditionalFormatting sqref="AG83:AH83">
    <cfRule type="expression" dxfId="40" priority="67" stopIfTrue="1">
      <formula>$AL$83</formula>
    </cfRule>
  </conditionalFormatting>
  <conditionalFormatting sqref="E64:F64">
    <cfRule type="expression" dxfId="39" priority="66" stopIfTrue="1">
      <formula>$AL$63</formula>
    </cfRule>
  </conditionalFormatting>
  <conditionalFormatting sqref="E65:F65">
    <cfRule type="expression" dxfId="38" priority="65" stopIfTrue="1">
      <formula>$AL$63</formula>
    </cfRule>
  </conditionalFormatting>
  <conditionalFormatting sqref="E66:F66">
    <cfRule type="expression" dxfId="37" priority="64" stopIfTrue="1">
      <formula>$AL$63</formula>
    </cfRule>
  </conditionalFormatting>
  <conditionalFormatting sqref="E67:F67">
    <cfRule type="expression" dxfId="36" priority="63" stopIfTrue="1">
      <formula>$AL$63</formula>
    </cfRule>
  </conditionalFormatting>
  <conditionalFormatting sqref="E68:F68">
    <cfRule type="expression" dxfId="35" priority="62" stopIfTrue="1">
      <formula>$AL$63</formula>
    </cfRule>
  </conditionalFormatting>
  <conditionalFormatting sqref="I64:J64">
    <cfRule type="expression" dxfId="34" priority="61" stopIfTrue="1">
      <formula>$AL$63</formula>
    </cfRule>
  </conditionalFormatting>
  <conditionalFormatting sqref="I65:J65">
    <cfRule type="expression" dxfId="33" priority="60" stopIfTrue="1">
      <formula>$AL$63</formula>
    </cfRule>
  </conditionalFormatting>
  <conditionalFormatting sqref="I66:J66">
    <cfRule type="expression" dxfId="32" priority="59" stopIfTrue="1">
      <formula>$AL$63</formula>
    </cfRule>
  </conditionalFormatting>
  <conditionalFormatting sqref="I67:J67">
    <cfRule type="expression" dxfId="31" priority="58" stopIfTrue="1">
      <formula>$AL$63</formula>
    </cfRule>
  </conditionalFormatting>
  <conditionalFormatting sqref="I68:J68">
    <cfRule type="expression" dxfId="30" priority="57" stopIfTrue="1">
      <formula>$AL$63</formula>
    </cfRule>
  </conditionalFormatting>
  <conditionalFormatting sqref="Z83:AA83">
    <cfRule type="expression" dxfId="29" priority="56" stopIfTrue="1">
      <formula>$AL$83</formula>
    </cfRule>
  </conditionalFormatting>
  <conditionalFormatting sqref="AG83:AH83">
    <cfRule type="expression" dxfId="28" priority="55" stopIfTrue="1">
      <formula>$AL$83</formula>
    </cfRule>
  </conditionalFormatting>
  <conditionalFormatting sqref="P43">
    <cfRule type="expression" dxfId="27" priority="138" stopIfTrue="1">
      <formula>$AL$43</formula>
    </cfRule>
  </conditionalFormatting>
  <conditionalFormatting sqref="U144:X147 U160:X163 U174:X177">
    <cfRule type="expression" dxfId="26" priority="50" stopIfTrue="1">
      <formula>AND(SUM($U$144:$U$147)&lt;&gt;0,SUM($U$144:$U$147)&lt;100)</formula>
    </cfRule>
    <cfRule type="expression" dxfId="25" priority="51" stopIfTrue="1">
      <formula>AND(SUM($Y$28:$AB$31)&lt;&gt;0,SUM($Y$28:$AB$31)&lt;100)</formula>
    </cfRule>
  </conditionalFormatting>
  <conditionalFormatting sqref="U160:X160">
    <cfRule type="expression" dxfId="24" priority="45" stopIfTrue="1">
      <formula>AND(SUM($U$160:$U$163)&lt;&gt;0,SUM($U$160:$U$163)&lt;100)</formula>
    </cfRule>
  </conditionalFormatting>
  <conditionalFormatting sqref="U174:X174">
    <cfRule type="expression" dxfId="23" priority="41" stopIfTrue="1">
      <formula>AND(SUM($U$174:$U$177)&lt;&gt;0,SUM($U$174:$U$177)&lt;100)</formula>
    </cfRule>
    <cfRule type="expression" dxfId="22" priority="42" stopIfTrue="1">
      <formula>AND(SUM($U$160:$U$163)&lt;&gt;0,SUM($U$160:$U$163)&lt;100)</formula>
    </cfRule>
  </conditionalFormatting>
  <conditionalFormatting sqref="U175:X177">
    <cfRule type="expression" dxfId="21" priority="39" stopIfTrue="1">
      <formula>AND(SUM($U$174:$U$177)&lt;&gt;0,SUM($U$174:$U$177)&lt;100)</formula>
    </cfRule>
    <cfRule type="expression" dxfId="20" priority="40" stopIfTrue="1">
      <formula>AND(SUM($U$160:$U$163)&lt;&gt;0,SUM($U$160:$U$163)&lt;100)</formula>
    </cfRule>
  </conditionalFormatting>
  <conditionalFormatting sqref="P44:P49">
    <cfRule type="expression" dxfId="19" priority="19" stopIfTrue="1">
      <formula>$AL$43</formula>
    </cfRule>
  </conditionalFormatting>
  <conditionalFormatting sqref="W44:X49">
    <cfRule type="expression" dxfId="18" priority="18" stopIfTrue="1">
      <formula>AND(F44&lt;&gt;"",W44="")</formula>
    </cfRule>
  </conditionalFormatting>
  <conditionalFormatting sqref="C54:D54">
    <cfRule type="expression" dxfId="17" priority="17" stopIfTrue="1">
      <formula>AND(XEP54&lt;&gt;"",C54="")</formula>
    </cfRule>
  </conditionalFormatting>
  <conditionalFormatting sqref="C55:D55">
    <cfRule type="expression" dxfId="16" priority="16" stopIfTrue="1">
      <formula>AND(XEP55&lt;&gt;"",C55="")</formula>
    </cfRule>
  </conditionalFormatting>
  <conditionalFormatting sqref="C56:D56">
    <cfRule type="expression" dxfId="15" priority="15" stopIfTrue="1">
      <formula>AND(XEP56&lt;&gt;"",C56="")</formula>
    </cfRule>
  </conditionalFormatting>
  <conditionalFormatting sqref="C57:D57">
    <cfRule type="expression" dxfId="14" priority="14" stopIfTrue="1">
      <formula>AND(XEP57&lt;&gt;"",C57="")</formula>
    </cfRule>
  </conditionalFormatting>
  <conditionalFormatting sqref="C58:D58">
    <cfRule type="expression" dxfId="13" priority="13" stopIfTrue="1">
      <formula>AND(XEP58&lt;&gt;"",C58="")</formula>
    </cfRule>
  </conditionalFormatting>
  <conditionalFormatting sqref="C63:D63">
    <cfRule type="expression" dxfId="12" priority="12" stopIfTrue="1">
      <formula>AND(XEP63&lt;&gt;"",C63="")</formula>
    </cfRule>
  </conditionalFormatting>
  <conditionalFormatting sqref="C64:D64">
    <cfRule type="expression" dxfId="11" priority="11" stopIfTrue="1">
      <formula>AND(XEP64&lt;&gt;"",C64="")</formula>
    </cfRule>
  </conditionalFormatting>
  <conditionalFormatting sqref="C65:D65">
    <cfRule type="expression" dxfId="10" priority="10" stopIfTrue="1">
      <formula>AND(XEP65&lt;&gt;"",C65="")</formula>
    </cfRule>
  </conditionalFormatting>
  <conditionalFormatting sqref="C66:D66">
    <cfRule type="expression" dxfId="9" priority="9" stopIfTrue="1">
      <formula>AND(XEP66&lt;&gt;"",C66="")</formula>
    </cfRule>
  </conditionalFormatting>
  <conditionalFormatting sqref="C67:D67">
    <cfRule type="expression" dxfId="8" priority="8" stopIfTrue="1">
      <formula>AND(XEP67&lt;&gt;"",C67="")</formula>
    </cfRule>
  </conditionalFormatting>
  <conditionalFormatting sqref="C68:D68">
    <cfRule type="expression" dxfId="7" priority="7" stopIfTrue="1">
      <formula>AND(XEP68&lt;&gt;"",C68="")</formula>
    </cfRule>
  </conditionalFormatting>
  <conditionalFormatting sqref="G68:H68">
    <cfRule type="expression" dxfId="6" priority="6" stopIfTrue="1">
      <formula>AND(XET68&lt;&gt;"",G68="")</formula>
    </cfRule>
  </conditionalFormatting>
  <conditionalFormatting sqref="G67:H67">
    <cfRule type="expression" dxfId="5" priority="5" stopIfTrue="1">
      <formula>AND(XET67&lt;&gt;"",G67="")</formula>
    </cfRule>
  </conditionalFormatting>
  <conditionalFormatting sqref="G66:H66">
    <cfRule type="expression" dxfId="4" priority="4" stopIfTrue="1">
      <formula>AND(XET66&lt;&gt;"",G66="")</formula>
    </cfRule>
  </conditionalFormatting>
  <conditionalFormatting sqref="G65:H65">
    <cfRule type="expression" dxfId="3" priority="3" stopIfTrue="1">
      <formula>AND(XET65&lt;&gt;"",G65="")</formula>
    </cfRule>
  </conditionalFormatting>
  <conditionalFormatting sqref="G64:H64">
    <cfRule type="expression" dxfId="2" priority="2" stopIfTrue="1">
      <formula>AND(XET64&lt;&gt;"",G64="")</formula>
    </cfRule>
  </conditionalFormatting>
  <conditionalFormatting sqref="G63:H63">
    <cfRule type="expression" dxfId="1" priority="1" stopIfTrue="1">
      <formula>AND(XET63&lt;&gt;"",G63="")</formula>
    </cfRule>
  </conditionalFormatting>
  <dataValidations count="55">
    <dataValidation type="list" allowBlank="1" showInputMessage="1" showErrorMessage="1" prompt="Select From Drop Down" sqref="AE122:AH122">
      <formula1>"YES, NO"</formula1>
    </dataValidation>
    <dataValidation type="list" allowBlank="1" showInputMessage="1" showErrorMessage="1" sqref="Z14:AH14">
      <formula1>"MALE, FEMALE, TRANSGENDER"</formula1>
    </dataValidation>
    <dataValidation type="list" allowBlank="1" showInputMessage="1" showErrorMessage="1" sqref="Z16:AH16">
      <formula1>"GENERAL, SC, ST"</formula1>
    </dataValidation>
    <dataValidation type="list" allowBlank="1" showInputMessage="1" showErrorMessage="1" sqref="K22:T22">
      <formula1>"SINGLE, MARRIED, DIVORCED, WIDOW, WIDOWER"</formula1>
    </dataValidation>
    <dataValidation type="whole" allowBlank="1" showInputMessage="1" showErrorMessage="1" error="Please enter a correct Birth Year" prompt="Enter Year of Birth" sqref="Q14:T14">
      <formula1>YEAR(TODAY())-62</formula1>
      <formula2>YEAR(TODAY())-18</formula2>
    </dataValidation>
    <dataValidation type="list" allowBlank="1" showInputMessage="1" showErrorMessage="1" sqref="Z24:AH24">
      <formula1>$AO$2:$AO$9</formula1>
    </dataValidation>
    <dataValidation type="custom" allowBlank="1" showInputMessage="1" showErrorMessage="1" error="Please enter correct PAN Number in BLOCK letters" prompt="Enter Valid PAN" sqref="K18:T18">
      <formula1>AND(EXACT(K18,UPPER(K18)),LEN(K18)=10,MID(K18,4,1)="P",ISTEXT(MID(K18,1,54)),ISNUMBER(VALUE(MID(K18,6,4))),ISTEXT(MID(K18,10,1)))</formula1>
    </dataValidation>
    <dataValidation type="custom" allowBlank="1" showInputMessage="1" showErrorMessage="1" error="Please enter in BLOCK letters" prompt="Enter SURNAME" sqref="K9:R9 K12">
      <formula1>EXACT(K9,UPPER(K9))</formula1>
    </dataValidation>
    <dataValidation type="custom" allowBlank="1" showInputMessage="1" showErrorMessage="1" error="Please enter in BLOCK letters" prompt="Enter FIRSTNAME" sqref="S9:Z9">
      <formula1>EXACT(S9,UPPER(S9))</formula1>
    </dataValidation>
    <dataValidation type="custom" allowBlank="1" showInputMessage="1" showErrorMessage="1" error="Please enter in BLOCK letters" prompt="Enter MIDDLE NAME" sqref="AA9:AH9">
      <formula1>EXACT(AA9,UPPER(AA9))</formula1>
    </dataValidation>
    <dataValidation type="custom" allowBlank="1" showInputMessage="1" showErrorMessage="1" error="Please enter in BLOCK letters" sqref="K16:T16 K84:AH86 K100:AH101 AC129:AH129 K63:AH68 K95:AH97 E134:V136 F43:O49 D129:I129 K88:AH90 AA43:AA49 C127:C129 D127:I127 P127:P129 Q129:V129 Q127:V127 W127:W129 X129:AA129 X127:AA127 AB127:AB129 AC127:AH127 N54:AE58 H55:M58">
      <formula1>EXACT(C16,UPPER(C16))</formula1>
    </dataValidation>
    <dataValidation type="whole" allowBlank="1" showInputMessage="1" showErrorMessage="1" error="Please enter a correct 6 digit PIN code" prompt="Please enter your 6 digit Pincode" sqref="AE30 AE33">
      <formula1>100000</formula1>
      <formula2>888888</formula2>
    </dataValidation>
    <dataValidation type="whole" allowBlank="1" showInputMessage="1" showErrorMessage="1" error="Please enter correct 10 digit mobile number" sqref="K87:AH87 K99:AH99">
      <formula1>1000000000</formula1>
      <formula2>9999999999</formula2>
    </dataValidation>
    <dataValidation type="custom" allowBlank="1" showInputMessage="1" showErrorMessage="1" error="Please enter in BLOCK letters" prompt="Enter Previous Organisation Address" sqref="K81:V81">
      <formula1>EXACT(K81,UPPER(K81))</formula1>
    </dataValidation>
    <dataValidation type="custom" allowBlank="1" showInputMessage="1" showErrorMessage="1" error="Please enter in BLOCK letters" prompt="Enter Previous-to-Previous Organisation Address" sqref="W81:AH81">
      <formula1>EXACT(W81,UPPER(W81))</formula1>
    </dataValidation>
    <dataValidation type="whole" allowBlank="1" showInputMessage="1" showErrorMessage="1" error="Please enter correct Office landline number" sqref="K82:AH82">
      <formula1>1000000000</formula1>
      <formula2>9999999999</formula2>
    </dataValidation>
    <dataValidation type="whole" allowBlank="1" showInputMessage="1" showErrorMessage="1" error="Please enter correct Telephone Number" prompt="Please enter Area code followed by Telephone number without any spaces or hyphens" sqref="W134:AB136">
      <formula1>1000000000</formula1>
      <formula2>9999999999</formula2>
    </dataValidation>
    <dataValidation type="whole" allowBlank="1" showInputMessage="1" showErrorMessage="1" error="Please enter correct Mobile Number" sqref="AC134:AH136">
      <formula1>1000000000</formula1>
      <formula2>9999999999</formula2>
    </dataValidation>
    <dataValidation type="whole" allowBlank="1" showInputMessage="1" showErrorMessage="1" error="Please enter correct landline telephone number" prompt="Please enter Area code followed by Telephone number without any spaces or hyphens" sqref="K98:AH98">
      <formula1>1000000000</formula1>
      <formula2>9999999999</formula2>
    </dataValidation>
    <dataValidation type="whole" allowBlank="1" showInputMessage="1" showErrorMessage="1" error="Please enter a correct Birth Date" sqref="U43:V49">
      <formula1>1</formula1>
      <formula2>31</formula2>
    </dataValidation>
    <dataValidation type="whole" allowBlank="1" showInputMessage="1" showErrorMessage="1" error="Please enter correct Date of Employment" sqref="K83 R83 W83 AD83">
      <formula1>1</formula1>
      <formula2>31</formula2>
    </dataValidation>
    <dataValidation type="custom" allowBlank="1" showInputMessage="1" showErrorMessage="1" sqref="AA218:AH218">
      <formula1>EXACT(AA218,UPPER(AA218))</formula1>
    </dataValidation>
    <dataValidation type="whole" allowBlank="1" showInputMessage="1" showErrorMessage="1" error="Please enter a correct Birth Date" prompt="Enter Date of Birth" sqref="K14:L14">
      <formula1>1</formula1>
      <formula2>IF(OR(N14="",N14="JAN",N14="MAR",N14="MAY",N14="JUL",N14="AUG",N14="OCT",N14="DEC"),31,IF(OR(N14="APR",N14="JUN",N14="SEP",N14="NOV"),30,29))</formula2>
    </dataValidation>
    <dataValidation type="list" allowBlank="1" showInputMessage="1" showErrorMessage="1" prompt="Select Month of Birth" sqref="N14:O14">
      <formula1>$AL$2:$AL$13</formula1>
    </dataValidation>
    <dataValidation type="whole" allowBlank="1" showInputMessage="1" showErrorMessage="1" error="Please enter correct 10 digit landline telephone number" prompt="Please enter Area code followed by Telephone number without any spaces or hyphens" sqref="K98:AH98">
      <formula1>1000000000</formula1>
      <formula2>9999999999</formula2>
    </dataValidation>
    <dataValidation type="custom" allowBlank="1" showInputMessage="1" showErrorMessage="1" error="Please enter in BLOCK letters" prompt="Please enter your complete Residential / Dispatch address with details of any nearby Landmark" sqref="C29:AH29">
      <formula1>EXACT(C29,UPPER(C29))</formula1>
    </dataValidation>
    <dataValidation type="custom" allowBlank="1" showInputMessage="1" showErrorMessage="1" error="Please enter in BLOCK letters" prompt="Please enter your complete Permanent address with details of any nearby Landmark" sqref="C32:AH32">
      <formula1>EXACT(C32,UPPER(C32))</formula1>
    </dataValidation>
    <dataValidation type="custom" allowBlank="1" showInputMessage="1" showErrorMessage="1" error="Please enter correct email ID of HR contact person" sqref="K91:AH91">
      <formula1>AND(EXACT(K91,LOWER(K91)),SEARCH(".",K91,(SEARCH("@",K91,1))+2))</formula1>
    </dataValidation>
    <dataValidation type="whole" allowBlank="1" showInputMessage="1" showErrorMessage="1" error="Please enter correct Birth Year" sqref="Y43:Z49">
      <formula1>YEAR(TODAY())-100</formula1>
      <formula2>YEAR(TODAY())</formula2>
    </dataValidation>
    <dataValidation type="whole" allowBlank="1" showInputMessage="1" showErrorMessage="1" error="Please enter correct Year of Passing" sqref="E54:G58">
      <formula1>$Q$14+10</formula1>
      <formula2>YEAR(TODAY())</formula2>
    </dataValidation>
    <dataValidation type="whole" allowBlank="1" showInputMessage="1" showErrorMessage="1" error="Please enter correct Year of Employment" sqref="E63:F68 I63:J68">
      <formula1>$Q$14+10</formula1>
      <formula2>YEAR(TODAY())</formula2>
    </dataValidation>
    <dataValidation allowBlank="1" showInputMessage="1" showErrorMessage="1" error="Please enter correct Passport Number in BLOCK letters" sqref="Z18:AH18"/>
    <dataValidation type="textLength" operator="equal" allowBlank="1" showInputMessage="1" showErrorMessage="1" error="Enter 12 digit UAN Number without adding any space or special character" prompt="Enter 12 digit UAN Number" sqref="K20:T20">
      <formula1>12</formula1>
    </dataValidation>
    <dataValidation type="whole" allowBlank="1" showInputMessage="1" showErrorMessage="1" error="Total share among nominees should be equal to 100" prompt="Total share among nominees should be equal to 100" sqref="U144:X147 U160:U163 X160:X163 V160:W160 V162:W163 U174:U177 X174:X177 V174:W174 V176:W177">
      <formula1>0</formula1>
      <formula2>AL144</formula2>
    </dataValidation>
    <dataValidation type="list" allowBlank="1" showInputMessage="1" showErrorMessage="1" sqref="C144:L147 C153:L156 C160:L163 C174:L177">
      <formula1>$F$43:$F$50</formula1>
    </dataValidation>
    <dataValidation type="list" allowBlank="1" showInputMessage="1" showErrorMessage="1" sqref="M144:T147 M153:X156">
      <formula1>$AM$144:$AM$145</formula1>
    </dataValidation>
    <dataValidation type="whole" allowBlank="1" showInputMessage="1" showErrorMessage="1" error="Total share among nominees should be equal to 100" prompt="Total share among nominees should be equal to 100" sqref="V161:W161 V175:W175">
      <formula1>0</formula1>
      <formula2>AM158</formula2>
    </dataValidation>
    <dataValidation type="list" allowBlank="1" showInputMessage="1" showErrorMessage="1" sqref="AE43:AH49 AC192:AH195 L192:Q195">
      <formula1>"Yes, No"</formula1>
    </dataValidation>
    <dataValidation allowBlank="1" showInputMessage="1" showErrorMessage="1" error="Please enter correct Year of Employment" sqref="N83:O83 U83:V83 Z83:AA83 AG83:AH83"/>
    <dataValidation type="textLength" operator="equal" allowBlank="1" showInputMessage="1" showErrorMessage="1" error="Enter 12 digit Aadhar Number without adding any space or special character" prompt="Enter 12 digit Aadhar Number" sqref="Z20:AH20">
      <formula1>12</formula1>
    </dataValidation>
    <dataValidation type="custom" allowBlank="1" showInputMessage="1" showErrorMessage="1" error="Please enter in BLOCK letters" prompt="Please mention City Name in BLOCK letters" sqref="F30 F33">
      <formula1>EXACT(F30,UPPER(F30))</formula1>
    </dataValidation>
    <dataValidation allowBlank="1" showInputMessage="1" showErrorMessage="1" error="Please enter correct 10 digit landline telephone number" sqref="O30 O33"/>
    <dataValidation type="textLength" operator="equal" allowBlank="1" showInputMessage="1" showErrorMessage="1" error="Enter 10 digit Mobile Number without adding any space or special character" prompt="Enter 10 digit Mobile Number" sqref="Z26:AH26">
      <formula1>10</formula1>
    </dataValidation>
    <dataValidation type="custom" allowBlank="1" showInputMessage="1" showErrorMessage="1" error="Please enter in BLOCK letters" prompt="Enter Highest Qualification" sqref="H54:M54">
      <formula1>EXACT(H54,UPPER(H54))</formula1>
    </dataValidation>
    <dataValidation type="list" allowBlank="1" showInputMessage="1" showErrorMessage="1" prompt="Select From Drop Down" sqref="AC181:AE181">
      <formula1>"Yes, No"</formula1>
    </dataValidation>
    <dataValidation type="list" allowBlank="1" showInputMessage="1" showErrorMessage="1" prompt="Select from Drop Down" sqref="AC183:AE183">
      <formula1>"Yes, No"</formula1>
    </dataValidation>
    <dataValidation allowBlank="1" showInputMessage="1" showErrorMessage="1" prompt="Mention treatment details if any" sqref="L196:AH196"/>
    <dataValidation allowBlank="1" showInputMessage="1" showErrorMessage="1" prompt="Insert Passport Photo as per instructions mentioned. " sqref="AA2 AA7"/>
    <dataValidation allowBlank="1" showInputMessage="1" showErrorMessage="1" prompt="Mention Account Holder Name" sqref="C205:K205"/>
    <dataValidation allowBlank="1" showInputMessage="1" showErrorMessage="1" prompt="Mention savings bank account number" sqref="T205:AA205"/>
    <dataValidation type="list" allowBlank="1" showInputMessage="1" showErrorMessage="1" sqref="Z22:AH22">
      <formula1>$AN$2:$AN$10</formula1>
    </dataValidation>
    <dataValidation type="list" allowBlank="1" showInputMessage="1" showErrorMessage="1" sqref="K24">
      <formula1>$AP$2:$AP$39</formula1>
    </dataValidation>
    <dataValidation type="list" allowBlank="1" showInputMessage="1" showErrorMessage="1" error="Please enter correct 10 digit landline telephone number" sqref="R30:AA30 R33:AA33">
      <formula1>$AP$2:$AP$39</formula1>
    </dataValidation>
    <dataValidation type="list" allowBlank="1" showInputMessage="1" showErrorMessage="1" sqref="P43:T49 J127:O129">
      <formula1>$AM$2:$AM$18</formula1>
    </dataValidation>
    <dataValidation type="list" allowBlank="1" showInputMessage="1" showErrorMessage="1" sqref="W43:X49 C54:D58 C63:D68 G63:H68">
      <formula1>$AL$2:$AL$13</formula1>
    </dataValidation>
  </dataValidations>
  <pageMargins left="0" right="0" top="0" bottom="0" header="0" footer="0"/>
  <pageSetup paperSize="9" scale="99" orientation="portrait" r:id="rId1"/>
  <rowBreaks count="4" manualBreakCount="4">
    <brk id="35" max="35" man="1"/>
    <brk id="70" max="35" man="1"/>
    <brk id="117" max="35" man="1"/>
    <brk id="166" max="35" man="1"/>
  </rowBreaks>
  <drawing r:id="rId2"/>
  <legacyDrawing r:id="rId3"/>
</worksheet>
</file>

<file path=xl/worksheets/sheet3.xml><?xml version="1.0" encoding="utf-8"?>
<worksheet xmlns="http://schemas.openxmlformats.org/spreadsheetml/2006/main" xmlns:r="http://schemas.openxmlformats.org/officeDocument/2006/relationships">
  <sheetPr codeName="Sheet4"/>
  <dimension ref="A1:AU1833"/>
  <sheetViews>
    <sheetView showGridLines="0" showRowColHeaders="0" workbookViewId="0">
      <selection activeCell="C1" sqref="C1"/>
    </sheetView>
  </sheetViews>
  <sheetFormatPr defaultColWidth="0" defaultRowHeight="15" customHeight="1" zeroHeight="1"/>
  <cols>
    <col min="1" max="36" width="2.7109375" style="106" customWidth="1"/>
    <col min="37" max="44" width="9.140625" style="106" hidden="1" customWidth="1"/>
    <col min="45" max="16384" width="9.140625" style="106" hidden="1"/>
  </cols>
  <sheetData>
    <row r="1" spans="3:44" ht="15" customHeight="1">
      <c r="AM1" s="106" t="s">
        <v>336</v>
      </c>
      <c r="AN1" s="106" t="s">
        <v>138</v>
      </c>
      <c r="AO1" s="106" t="s">
        <v>26</v>
      </c>
      <c r="AP1" s="106" t="s">
        <v>132</v>
      </c>
      <c r="AQ1" s="106" t="s">
        <v>337</v>
      </c>
      <c r="AR1" s="106" t="s">
        <v>25</v>
      </c>
    </row>
    <row r="2" spans="3:44" ht="15" customHeight="1">
      <c r="AL2" s="26"/>
      <c r="AM2" s="106" t="str">
        <f>IF('Employee Data Form'!F43="","",'Employee Data Form'!F43)</f>
        <v>KOMMULA RAJAIAH</v>
      </c>
      <c r="AN2" s="106" t="str">
        <f>IF('Employee Data Form'!P43="","",'Employee Data Form'!P43)</f>
        <v>FATHER</v>
      </c>
      <c r="AO2" s="106">
        <f>IF('Employee Data Form'!U43="","",'Employee Data Form'!U43)</f>
        <v>19</v>
      </c>
      <c r="AP2" s="106" t="str">
        <f>IF('Employee Data Form'!W43="","",'Employee Data Form'!W43)</f>
        <v>FEB</v>
      </c>
      <c r="AQ2" s="106">
        <f>IF('Employee Data Form'!Y43="","",'Employee Data Form'!Y43)</f>
        <v>1970</v>
      </c>
      <c r="AR2" s="106" t="str">
        <f>IF(AND('Employee Data Form'!C32="",'Employee Data Form'!Z33=""),"-",CONCATENATE('Employee Data Form'!C32,"-",'Employee Data Form'!Z33))</f>
        <v>3/150/1 GOURAVELLY,AKKANNAPET,SIDDIPET NEAR GOURAVELLY BUSTOP-</v>
      </c>
    </row>
    <row r="3" spans="3:44" ht="15" customHeight="1">
      <c r="AL3" s="26"/>
      <c r="AM3" s="106" t="str">
        <f>IF('Employee Data Form'!F44="","",'Employee Data Form'!F44)</f>
        <v>KOMMUA SUGUNA</v>
      </c>
      <c r="AN3" s="106" t="str">
        <f>IF('Employee Data Form'!P44="","",'Employee Data Form'!P44)</f>
        <v>MOTHER</v>
      </c>
      <c r="AO3" s="106">
        <f>IF('Employee Data Form'!U44="","",'Employee Data Form'!U44)</f>
        <v>15</v>
      </c>
      <c r="AP3" s="106" t="str">
        <f>IF('Employee Data Form'!W44="","",'Employee Data Form'!W44)</f>
        <v>MAY</v>
      </c>
      <c r="AQ3" s="106">
        <f>IF('Employee Data Form'!Y44="","",'Employee Data Form'!Y44)</f>
        <v>1980</v>
      </c>
      <c r="AR3" s="106" t="str">
        <f>IF(AND('Employee Data Form'!C29="",'Employee Data Form'!Z30=""),"-",CONCATENATE('Employee Data Form'!C29,"-",'Employee Data Form'!Z30))</f>
        <v>7-1-632/79/1/A BAAPU NAGAR .SR NAGAR500038-</v>
      </c>
    </row>
    <row r="4" spans="3:44" ht="15" customHeight="1">
      <c r="AL4" s="26"/>
      <c r="AM4" s="106" t="str">
        <f>IF('Employee Data Form'!F45="","",'Employee Data Form'!F45)</f>
        <v>KOMMULA VINOD</v>
      </c>
      <c r="AN4" s="106" t="str">
        <f>IF('Employee Data Form'!P45="","",'Employee Data Form'!P45)</f>
        <v>BROTHER</v>
      </c>
      <c r="AO4" s="106">
        <f>IF('Employee Data Form'!U45="","",'Employee Data Form'!U45)</f>
        <v>4</v>
      </c>
      <c r="AP4" s="106" t="str">
        <f>IF('Employee Data Form'!W45="","",'Employee Data Form'!W45)</f>
        <v>APR</v>
      </c>
      <c r="AQ4" s="106">
        <f>IF('Employee Data Form'!Y45="","",'Employee Data Form'!Y45)</f>
        <v>1994</v>
      </c>
    </row>
    <row r="5" spans="3:44" ht="5.0999999999999996" customHeight="1">
      <c r="AL5" s="26"/>
      <c r="AM5" s="106" t="str">
        <f>IF('Employee Data Form'!F46="","",'Employee Data Form'!F46)</f>
        <v>KOMMULA SHIVA</v>
      </c>
      <c r="AN5" s="106" t="str">
        <f>IF('Employee Data Form'!P46="","",'Employee Data Form'!P46)</f>
        <v>BROTHER</v>
      </c>
      <c r="AO5" s="106">
        <f>IF('Employee Data Form'!U46="","",'Employee Data Form'!U46)</f>
        <v>10</v>
      </c>
      <c r="AP5" s="106" t="str">
        <f>IF('Employee Data Form'!W46="","",'Employee Data Form'!W46)</f>
        <v>SEP</v>
      </c>
      <c r="AQ5" s="106">
        <f>IF('Employee Data Form'!Y46="","",'Employee Data Form'!Y46)</f>
        <v>1996</v>
      </c>
    </row>
    <row r="6" spans="3:44" ht="20.100000000000001" customHeight="1">
      <c r="C6" s="40" t="s">
        <v>161</v>
      </c>
      <c r="D6" s="41"/>
      <c r="E6" s="42"/>
      <c r="F6" s="42"/>
      <c r="G6" s="42"/>
      <c r="H6" s="42"/>
      <c r="I6" s="42"/>
      <c r="J6" s="43"/>
      <c r="K6" s="43"/>
      <c r="AL6" s="26"/>
      <c r="AM6" s="106" t="str">
        <f>IF('Employee Data Form'!F47="","",'Employee Data Form'!F47)</f>
        <v/>
      </c>
      <c r="AN6" s="106" t="str">
        <f>IF('Employee Data Form'!P47="","",'Employee Data Form'!P47)</f>
        <v/>
      </c>
      <c r="AO6" s="106" t="str">
        <f>IF('Employee Data Form'!U47="","",'Employee Data Form'!U47)</f>
        <v/>
      </c>
      <c r="AP6" s="106" t="str">
        <f>IF('Employee Data Form'!W47="","",'Employee Data Form'!W47)</f>
        <v/>
      </c>
      <c r="AQ6" s="106" t="str">
        <f>IF('Employee Data Form'!Y47="","",'Employee Data Form'!Y47)</f>
        <v/>
      </c>
    </row>
    <row r="7" spans="3:44" ht="20.100000000000001" customHeight="1">
      <c r="C7" s="40" t="s">
        <v>27</v>
      </c>
      <c r="D7" s="41"/>
      <c r="E7" s="41"/>
      <c r="F7" s="41"/>
      <c r="G7" s="13"/>
      <c r="H7" s="13"/>
      <c r="I7" s="13"/>
      <c r="AA7" s="44" t="s">
        <v>31</v>
      </c>
      <c r="AB7" s="13"/>
      <c r="AL7" s="26"/>
      <c r="AM7" s="106" t="str">
        <f>IF('Employee Data Form'!F48="","",'Employee Data Form'!F48)</f>
        <v/>
      </c>
      <c r="AN7" s="106" t="str">
        <f>IF('Employee Data Form'!P48="","",'Employee Data Form'!P48)</f>
        <v/>
      </c>
      <c r="AO7" s="106" t="str">
        <f>IF('Employee Data Form'!U48="","",'Employee Data Form'!U48)</f>
        <v/>
      </c>
      <c r="AP7" s="106" t="str">
        <f>IF('Employee Data Form'!W48="","",'Employee Data Form'!W48)</f>
        <v/>
      </c>
      <c r="AQ7" s="106" t="str">
        <f>IF('Employee Data Form'!Y48="","",'Employee Data Form'!Y48)</f>
        <v/>
      </c>
    </row>
    <row r="8" spans="3:44" ht="15" customHeight="1">
      <c r="C8" s="45" t="s">
        <v>28</v>
      </c>
      <c r="D8" s="41"/>
      <c r="E8" s="41"/>
      <c r="F8" s="41"/>
      <c r="G8" s="13"/>
      <c r="H8" s="13"/>
      <c r="I8" s="13"/>
      <c r="Z8" s="460" t="s">
        <v>160</v>
      </c>
      <c r="AA8" s="461"/>
      <c r="AB8" s="461"/>
      <c r="AC8" s="461"/>
      <c r="AD8" s="461"/>
      <c r="AE8" s="461"/>
      <c r="AF8" s="461"/>
      <c r="AG8" s="461"/>
      <c r="AH8" s="462"/>
      <c r="AL8" s="26"/>
      <c r="AM8" s="106" t="str">
        <f>IF('Employee Data Form'!F49="","",'Employee Data Form'!F49)</f>
        <v/>
      </c>
      <c r="AN8" s="106" t="str">
        <f>IF('Employee Data Form'!P49="","",'Employee Data Form'!P49)</f>
        <v/>
      </c>
      <c r="AO8" s="106" t="str">
        <f>IF('Employee Data Form'!U49="","",'Employee Data Form'!U49)</f>
        <v/>
      </c>
      <c r="AP8" s="106" t="str">
        <f>IF('Employee Data Form'!W49="","",'Employee Data Form'!W49)</f>
        <v/>
      </c>
      <c r="AQ8" s="106" t="str">
        <f>IF('Employee Data Form'!Y49="","",'Employee Data Form'!Y49)</f>
        <v/>
      </c>
    </row>
    <row r="9" spans="3:44" ht="15" customHeight="1">
      <c r="C9" s="40" t="s">
        <v>29</v>
      </c>
      <c r="D9" s="16"/>
      <c r="E9" s="16"/>
      <c r="F9" s="16"/>
      <c r="G9" s="16"/>
      <c r="H9" s="13"/>
      <c r="I9" s="13"/>
      <c r="Z9" s="460" t="s">
        <v>162</v>
      </c>
      <c r="AA9" s="461"/>
      <c r="AB9" s="461"/>
      <c r="AC9" s="461"/>
      <c r="AD9" s="461"/>
      <c r="AE9" s="461"/>
      <c r="AF9" s="461"/>
      <c r="AG9" s="461"/>
      <c r="AH9" s="462"/>
      <c r="AL9" s="26"/>
      <c r="AM9" s="106" t="str">
        <f>IF('Employee Data Form'!F50="","",'Employee Data Form'!F50)</f>
        <v/>
      </c>
      <c r="AN9" s="106" t="str">
        <f>IF('Employee Data Form'!T50="","",'Employee Data Form'!T50)</f>
        <v/>
      </c>
      <c r="AO9" s="106" t="str">
        <f>IF('Employee Data Form'!Y50="","",'Employee Data Form'!Y50)</f>
        <v/>
      </c>
      <c r="AP9" s="106" t="str">
        <f>IF('Employee Data Form'!AA50="","",'Employee Data Form'!AA50)</f>
        <v/>
      </c>
      <c r="AQ9" s="106" t="str">
        <f>IF('Employee Data Form'!AC50="","",'Employee Data Form'!AC50)</f>
        <v/>
      </c>
    </row>
    <row r="10" spans="3:44" ht="15" customHeight="1">
      <c r="C10" s="45" t="s">
        <v>30</v>
      </c>
      <c r="D10" s="16"/>
      <c r="E10" s="16"/>
      <c r="F10" s="16"/>
      <c r="G10" s="16"/>
      <c r="H10" s="13"/>
      <c r="I10" s="13"/>
      <c r="Z10" s="460" t="s">
        <v>163</v>
      </c>
      <c r="AA10" s="461"/>
      <c r="AB10" s="461"/>
      <c r="AC10" s="461"/>
      <c r="AD10" s="461"/>
      <c r="AE10" s="461"/>
      <c r="AF10" s="461"/>
      <c r="AG10" s="461"/>
      <c r="AH10" s="462"/>
      <c r="AL10" s="26"/>
      <c r="AN10" s="26"/>
    </row>
    <row r="11" spans="3:44" ht="15" customHeight="1">
      <c r="C11" s="14" t="s">
        <v>164</v>
      </c>
      <c r="D11" s="14"/>
      <c r="E11" s="14"/>
      <c r="F11" s="14"/>
      <c r="G11" s="14"/>
      <c r="H11" s="13"/>
      <c r="I11" s="13"/>
      <c r="AL11" s="26"/>
      <c r="AN11" s="26"/>
    </row>
    <row r="12" spans="3:44" ht="15" customHeight="1">
      <c r="C12" s="46" t="s">
        <v>165</v>
      </c>
      <c r="D12" s="14"/>
      <c r="E12" s="14"/>
      <c r="F12" s="14"/>
      <c r="G12" s="14"/>
      <c r="H12" s="13"/>
      <c r="I12" s="13"/>
      <c r="Z12" s="40"/>
      <c r="AA12" s="40"/>
      <c r="AB12" s="40"/>
      <c r="AC12" s="40"/>
      <c r="AD12" s="13"/>
      <c r="AE12" s="13"/>
      <c r="AF12" s="13"/>
      <c r="AG12" s="13"/>
      <c r="AH12" s="13"/>
      <c r="AL12" s="26"/>
    </row>
    <row r="13" spans="3:44" ht="5.0999999999999996" customHeight="1">
      <c r="C13" s="13"/>
      <c r="D13" s="13"/>
      <c r="E13" s="13"/>
      <c r="F13" s="13"/>
      <c r="G13" s="13"/>
      <c r="H13" s="13"/>
      <c r="I13" s="13"/>
      <c r="AL13" s="26"/>
    </row>
    <row r="14" spans="3:44" s="49" customFormat="1" ht="20.100000000000001" customHeight="1">
      <c r="C14" s="47" t="s">
        <v>32</v>
      </c>
      <c r="D14" s="47" t="s">
        <v>166</v>
      </c>
      <c r="E14" s="44"/>
      <c r="F14" s="48"/>
      <c r="G14" s="48"/>
      <c r="H14" s="48"/>
      <c r="I14" s="48"/>
      <c r="J14" s="48"/>
      <c r="K14" s="48"/>
      <c r="L14" s="250" t="str">
        <f>TRIM(CONCATENATE(IF('Employee Data Form'!S9="","",UPPER('Employee Data Form'!S9))," ",IF('Employee Data Form'!AA9="","",UPPER('Employee Data Form'!AA9))," ",IF('Employee Data Form'!K9="","",UPPER('Employee Data Form'!K9))))</f>
        <v>SRIKANTH KOMMULA</v>
      </c>
      <c r="M14" s="250"/>
      <c r="N14" s="250"/>
      <c r="O14" s="250"/>
      <c r="P14" s="250"/>
      <c r="Q14" s="250"/>
      <c r="R14" s="250"/>
      <c r="S14" s="250"/>
      <c r="T14" s="250"/>
      <c r="U14" s="250"/>
      <c r="V14" s="250"/>
      <c r="W14" s="250"/>
      <c r="X14" s="250"/>
      <c r="Y14" s="250"/>
      <c r="Z14" s="250"/>
      <c r="AA14" s="250"/>
      <c r="AB14" s="250"/>
      <c r="AC14" s="250"/>
      <c r="AD14" s="250"/>
      <c r="AE14" s="250"/>
      <c r="AF14" s="250"/>
      <c r="AG14" s="250"/>
      <c r="AH14" s="250"/>
      <c r="AL14" s="106"/>
      <c r="AM14" s="106"/>
      <c r="AN14" s="106"/>
    </row>
    <row r="15" spans="3:44" s="49" customFormat="1" ht="20.100000000000001" customHeight="1">
      <c r="C15" s="47" t="s">
        <v>33</v>
      </c>
      <c r="D15" s="47" t="s">
        <v>167</v>
      </c>
      <c r="E15" s="44"/>
      <c r="F15" s="48"/>
      <c r="G15" s="48"/>
      <c r="H15" s="48"/>
      <c r="I15" s="48"/>
      <c r="J15" s="48"/>
      <c r="K15" s="48"/>
      <c r="L15" s="48"/>
      <c r="M15" s="349" t="str">
        <f>CONCATENATE(IF('Employee Data Form'!S12="","",UPPER('Employee Data Form'!S12))," ",IF('Employee Data Form'!AA12="","",UPPER('Employee Data Form'!AA12))," ",IF('Employee Data Form'!K12="","",UPPER('Employee Data Form'!K12)))</f>
        <v>RAJAIAH  KOMMULA</v>
      </c>
      <c r="N15" s="349"/>
      <c r="O15" s="349"/>
      <c r="P15" s="349"/>
      <c r="Q15" s="349"/>
      <c r="R15" s="349"/>
      <c r="S15" s="349"/>
      <c r="T15" s="349"/>
      <c r="U15" s="349"/>
      <c r="V15" s="349"/>
      <c r="W15" s="349"/>
      <c r="X15" s="349"/>
      <c r="Y15" s="349"/>
      <c r="Z15" s="349"/>
      <c r="AA15" s="349"/>
      <c r="AB15" s="349"/>
      <c r="AC15" s="349"/>
      <c r="AD15" s="349"/>
      <c r="AE15" s="349"/>
      <c r="AF15" s="349"/>
      <c r="AG15" s="349"/>
      <c r="AH15" s="349"/>
      <c r="AL15" s="106"/>
      <c r="AM15" s="106"/>
      <c r="AN15" s="106"/>
    </row>
    <row r="16" spans="3:44" s="49" customFormat="1" ht="20.100000000000001" customHeight="1">
      <c r="C16" s="47" t="s">
        <v>34</v>
      </c>
      <c r="D16" s="47" t="s">
        <v>5</v>
      </c>
      <c r="E16" s="44"/>
      <c r="F16" s="48"/>
      <c r="G16" s="48"/>
      <c r="H16" s="48"/>
      <c r="I16" s="50"/>
      <c r="J16" s="50"/>
      <c r="K16" s="250" t="str">
        <f>CONCATENATE(IF('Employee Data Form'!K14="","",UPPER('Employee Data Form'!K14)),"-",IF('Employee Data Form'!N14="","",UPPER('Employee Data Form'!N14)),"-",IF('Employee Data Form'!Q14="","",UPPER('Employee Data Form'!Q14)))</f>
        <v>28-JUL-1998</v>
      </c>
      <c r="L16" s="250"/>
      <c r="M16" s="250"/>
      <c r="N16" s="250"/>
      <c r="O16" s="250"/>
      <c r="P16" s="250"/>
      <c r="Q16" s="250"/>
      <c r="R16" s="250"/>
      <c r="S16" s="250"/>
      <c r="T16" s="51"/>
      <c r="U16" s="51"/>
      <c r="V16" s="52"/>
      <c r="X16" s="53" t="s">
        <v>35</v>
      </c>
      <c r="Y16" s="53" t="s">
        <v>61</v>
      </c>
      <c r="Z16" s="44"/>
      <c r="AA16" s="349" t="str">
        <f>IF('Employee Data Form'!Z14="","",UPPER('Employee Data Form'!Z14))</f>
        <v>MALE</v>
      </c>
      <c r="AB16" s="349"/>
      <c r="AC16" s="349"/>
      <c r="AD16" s="349"/>
      <c r="AE16" s="349"/>
      <c r="AF16" s="349"/>
      <c r="AG16" s="349"/>
      <c r="AH16" s="349"/>
      <c r="AL16" s="106"/>
      <c r="AM16" s="106"/>
      <c r="AN16" s="106"/>
    </row>
    <row r="17" spans="2:47" s="6" customFormat="1" ht="20.100000000000001" customHeight="1">
      <c r="C17" s="14" t="s">
        <v>36</v>
      </c>
      <c r="D17" s="14" t="s">
        <v>10</v>
      </c>
      <c r="E17" s="14"/>
      <c r="F17" s="7"/>
      <c r="G17" s="7"/>
      <c r="H17" s="7"/>
      <c r="I17" s="349" t="str">
        <f>IF('Employee Data Form'!K22="","",UPPER('Employee Data Form'!K22))</f>
        <v>SINGLE</v>
      </c>
      <c r="J17" s="349"/>
      <c r="K17" s="349"/>
      <c r="L17" s="349"/>
      <c r="M17" s="349"/>
      <c r="N17" s="349"/>
      <c r="O17" s="349"/>
      <c r="P17" s="349"/>
      <c r="Q17" s="349"/>
      <c r="R17" s="349"/>
      <c r="S17" s="349"/>
      <c r="T17" s="349"/>
      <c r="U17" s="21"/>
      <c r="V17" s="47" t="s">
        <v>62</v>
      </c>
      <c r="W17" s="47" t="s">
        <v>168</v>
      </c>
      <c r="X17" s="55"/>
      <c r="Y17" s="73"/>
      <c r="Z17" s="73"/>
      <c r="AA17" s="349"/>
      <c r="AB17" s="349"/>
      <c r="AC17" s="349"/>
      <c r="AD17" s="349"/>
      <c r="AE17" s="349"/>
      <c r="AF17" s="349"/>
      <c r="AG17" s="349"/>
      <c r="AH17" s="349"/>
      <c r="AL17" s="106"/>
      <c r="AM17" s="106"/>
      <c r="AN17" s="106"/>
    </row>
    <row r="18" spans="2:47" s="6" customFormat="1" ht="15" customHeight="1">
      <c r="I18" s="6" t="s">
        <v>169</v>
      </c>
      <c r="AL18" s="106"/>
      <c r="AM18" s="106"/>
      <c r="AN18" s="106"/>
    </row>
    <row r="19" spans="2:47" s="6" customFormat="1" ht="15" customHeight="1">
      <c r="C19" s="14" t="s">
        <v>37</v>
      </c>
      <c r="D19" s="14" t="s">
        <v>25</v>
      </c>
      <c r="E19" s="7"/>
      <c r="F19" s="7"/>
      <c r="G19" s="7"/>
      <c r="J19" s="7"/>
      <c r="K19" s="7"/>
      <c r="L19" s="7"/>
      <c r="M19" s="7"/>
      <c r="N19" s="7"/>
      <c r="O19" s="7"/>
      <c r="P19" s="7"/>
      <c r="Q19" s="7"/>
      <c r="R19" s="7"/>
      <c r="S19" s="7"/>
      <c r="T19" s="7"/>
      <c r="U19" s="7"/>
      <c r="V19" s="7"/>
      <c r="W19" s="7"/>
      <c r="X19" s="7"/>
      <c r="Y19" s="7"/>
      <c r="Z19" s="7"/>
      <c r="AA19" s="7"/>
      <c r="AB19" s="7"/>
      <c r="AC19" s="7"/>
      <c r="AD19" s="7"/>
      <c r="AE19" s="7"/>
      <c r="AF19" s="7"/>
      <c r="AG19" s="7"/>
      <c r="AH19" s="7"/>
      <c r="AL19" s="106"/>
      <c r="AM19" s="106"/>
      <c r="AN19" s="106"/>
    </row>
    <row r="20" spans="2:47" s="6" customFormat="1" ht="30" customHeight="1">
      <c r="C20" s="14"/>
      <c r="D20" s="102" t="s">
        <v>38</v>
      </c>
      <c r="E20" s="7"/>
      <c r="F20" s="7"/>
      <c r="G20" s="7"/>
      <c r="H20" s="394" t="str">
        <f>IF(AND('Employee Data Form'!C32="",'Employee Data Form'!Z33=""),"",CONCATENATE('Employee Data Form'!C32,"-",'Employee Data Form'!Z33))</f>
        <v>3/150/1 GOURAVELLY,AKKANNAPET,SIDDIPET NEAR GOURAVELLY BUSTOP-</v>
      </c>
      <c r="I20" s="394"/>
      <c r="J20" s="394"/>
      <c r="K20" s="394"/>
      <c r="L20" s="394"/>
      <c r="M20" s="394"/>
      <c r="N20" s="394"/>
      <c r="O20" s="394"/>
      <c r="P20" s="394"/>
      <c r="Q20" s="394"/>
      <c r="R20" s="394"/>
      <c r="S20" s="394"/>
      <c r="T20" s="394"/>
      <c r="U20" s="394"/>
      <c r="V20" s="394"/>
      <c r="W20" s="394"/>
      <c r="X20" s="394"/>
      <c r="Y20" s="394"/>
      <c r="Z20" s="394"/>
      <c r="AA20" s="394"/>
      <c r="AB20" s="394"/>
      <c r="AC20" s="394"/>
      <c r="AD20" s="394"/>
      <c r="AE20" s="394"/>
      <c r="AF20" s="394"/>
      <c r="AG20" s="394"/>
      <c r="AH20" s="394"/>
      <c r="AL20" s="106"/>
      <c r="AM20" s="106"/>
      <c r="AN20" s="106"/>
    </row>
    <row r="21" spans="2:47" s="6" customFormat="1" ht="30" customHeight="1">
      <c r="D21" s="102" t="s">
        <v>39</v>
      </c>
      <c r="E21" s="7"/>
      <c r="F21" s="7"/>
      <c r="G21" s="7"/>
      <c r="H21" s="469" t="str">
        <f>IF(AND('Employee Data Form'!C29="",'Employee Data Form'!Z30=""),"",CONCATENATE('Employee Data Form'!C29,"-",'Employee Data Form'!Z30))</f>
        <v>7-1-632/79/1/A BAAPU NAGAR .SR NAGAR500038-</v>
      </c>
      <c r="I21" s="469"/>
      <c r="J21" s="469"/>
      <c r="K21" s="469"/>
      <c r="L21" s="469"/>
      <c r="M21" s="469"/>
      <c r="N21" s="469"/>
      <c r="O21" s="469"/>
      <c r="P21" s="469"/>
      <c r="Q21" s="469"/>
      <c r="R21" s="469"/>
      <c r="S21" s="469"/>
      <c r="T21" s="469"/>
      <c r="U21" s="469"/>
      <c r="V21" s="469"/>
      <c r="W21" s="469"/>
      <c r="X21" s="469"/>
      <c r="Y21" s="469"/>
      <c r="Z21" s="469"/>
      <c r="AA21" s="469"/>
      <c r="AB21" s="469"/>
      <c r="AC21" s="469"/>
      <c r="AD21" s="469"/>
      <c r="AE21" s="469"/>
      <c r="AF21" s="469"/>
      <c r="AG21" s="469"/>
      <c r="AH21" s="469"/>
      <c r="AL21" s="106"/>
      <c r="AM21" s="106"/>
      <c r="AN21" s="106"/>
    </row>
    <row r="22" spans="2:47" ht="15" customHeight="1">
      <c r="Q22" s="13"/>
      <c r="R22" s="54" t="s">
        <v>40</v>
      </c>
      <c r="S22" s="13"/>
    </row>
    <row r="23" spans="2:47" s="6" customFormat="1" ht="15" customHeight="1">
      <c r="B23" s="55" t="s">
        <v>172</v>
      </c>
      <c r="D23" s="47"/>
      <c r="E23" s="47"/>
      <c r="F23" s="47"/>
      <c r="G23" s="47"/>
      <c r="H23" s="47"/>
      <c r="I23" s="47"/>
      <c r="J23" s="47"/>
      <c r="K23" s="47"/>
      <c r="L23" s="47"/>
      <c r="M23" s="47"/>
      <c r="N23" s="47"/>
      <c r="R23" s="56"/>
      <c r="S23" s="56"/>
      <c r="T23" s="56"/>
      <c r="U23" s="56"/>
      <c r="V23" s="56"/>
      <c r="W23" s="56"/>
      <c r="X23" s="56"/>
      <c r="Y23" s="56"/>
      <c r="Z23" s="56"/>
      <c r="AA23" s="56"/>
      <c r="AB23" s="56"/>
      <c r="AC23" s="56"/>
      <c r="AD23" s="56"/>
      <c r="AE23" s="56"/>
      <c r="AF23" s="56"/>
      <c r="AG23" s="56"/>
      <c r="AH23" s="56"/>
      <c r="AI23" s="56"/>
      <c r="AJ23" s="56"/>
      <c r="AK23" s="56"/>
      <c r="AL23" s="106"/>
      <c r="AM23" s="106"/>
      <c r="AN23" s="106"/>
      <c r="AO23" s="56"/>
      <c r="AP23" s="56"/>
      <c r="AQ23" s="56"/>
      <c r="AR23" s="56"/>
      <c r="AS23" s="56"/>
      <c r="AT23" s="56"/>
      <c r="AU23" s="56"/>
    </row>
    <row r="24" spans="2:47" s="6" customFormat="1" ht="15" customHeight="1">
      <c r="B24" s="57" t="s">
        <v>173</v>
      </c>
      <c r="D24" s="47"/>
      <c r="E24" s="47"/>
      <c r="F24" s="47"/>
      <c r="G24" s="47"/>
      <c r="H24" s="47"/>
      <c r="I24" s="47"/>
      <c r="J24" s="47"/>
      <c r="K24" s="47"/>
      <c r="L24" s="47"/>
      <c r="M24" s="47"/>
      <c r="N24" s="47"/>
      <c r="R24" s="56"/>
      <c r="S24" s="56"/>
      <c r="T24" s="56"/>
      <c r="U24" s="56"/>
      <c r="V24" s="56"/>
      <c r="W24" s="56"/>
      <c r="X24" s="56"/>
      <c r="Y24" s="56"/>
      <c r="Z24" s="56"/>
      <c r="AA24" s="56"/>
      <c r="AB24" s="56"/>
      <c r="AC24" s="56"/>
      <c r="AD24" s="56"/>
      <c r="AE24" s="56"/>
      <c r="AF24" s="56"/>
      <c r="AG24" s="56"/>
      <c r="AH24" s="56"/>
      <c r="AI24" s="56"/>
      <c r="AJ24" s="56"/>
      <c r="AK24" s="56"/>
      <c r="AL24" s="106"/>
      <c r="AM24" s="106"/>
      <c r="AN24" s="106"/>
      <c r="AO24" s="56"/>
      <c r="AP24" s="56"/>
      <c r="AQ24" s="56"/>
      <c r="AR24" s="56"/>
      <c r="AS24" s="56"/>
      <c r="AT24" s="56"/>
      <c r="AU24" s="56"/>
    </row>
    <row r="25" spans="2:47" s="6" customFormat="1" ht="5.0999999999999996" customHeight="1">
      <c r="AL25" s="106"/>
      <c r="AM25" s="106"/>
      <c r="AN25" s="106"/>
    </row>
    <row r="26" spans="2:47" s="6" customFormat="1" ht="80.099999999999994" customHeight="1">
      <c r="C26" s="456" t="s">
        <v>41</v>
      </c>
      <c r="D26" s="457"/>
      <c r="E26" s="457"/>
      <c r="F26" s="457"/>
      <c r="G26" s="457"/>
      <c r="H26" s="458"/>
      <c r="I26" s="456" t="s">
        <v>25</v>
      </c>
      <c r="J26" s="457"/>
      <c r="K26" s="457"/>
      <c r="L26" s="457"/>
      <c r="M26" s="457"/>
      <c r="N26" s="458"/>
      <c r="O26" s="456" t="s">
        <v>170</v>
      </c>
      <c r="P26" s="457"/>
      <c r="Q26" s="457"/>
      <c r="R26" s="458"/>
      <c r="S26" s="456" t="s">
        <v>5</v>
      </c>
      <c r="T26" s="457"/>
      <c r="U26" s="457"/>
      <c r="V26" s="457"/>
      <c r="W26" s="457"/>
      <c r="X26" s="458"/>
      <c r="Y26" s="463" t="s">
        <v>171</v>
      </c>
      <c r="Z26" s="464"/>
      <c r="AA26" s="464"/>
      <c r="AB26" s="465"/>
      <c r="AC26" s="466" t="s">
        <v>174</v>
      </c>
      <c r="AD26" s="467"/>
      <c r="AE26" s="467"/>
      <c r="AF26" s="467"/>
      <c r="AG26" s="467"/>
      <c r="AH26" s="468"/>
      <c r="AL26" s="106"/>
      <c r="AM26" s="106"/>
      <c r="AN26" s="106"/>
    </row>
    <row r="27" spans="2:47" s="58" customFormat="1" ht="9.9499999999999993" customHeight="1">
      <c r="C27" s="437">
        <v>1</v>
      </c>
      <c r="D27" s="438"/>
      <c r="E27" s="438"/>
      <c r="F27" s="438"/>
      <c r="G27" s="438"/>
      <c r="H27" s="439"/>
      <c r="I27" s="437">
        <v>2</v>
      </c>
      <c r="J27" s="438"/>
      <c r="K27" s="438"/>
      <c r="L27" s="438"/>
      <c r="M27" s="438"/>
      <c r="N27" s="439"/>
      <c r="O27" s="437">
        <v>3</v>
      </c>
      <c r="P27" s="438"/>
      <c r="Q27" s="438"/>
      <c r="R27" s="439"/>
      <c r="S27" s="437">
        <v>4</v>
      </c>
      <c r="T27" s="438"/>
      <c r="U27" s="438"/>
      <c r="V27" s="438"/>
      <c r="W27" s="438"/>
      <c r="X27" s="439"/>
      <c r="Y27" s="437">
        <v>5</v>
      </c>
      <c r="Z27" s="438"/>
      <c r="AA27" s="438"/>
      <c r="AB27" s="439"/>
      <c r="AC27" s="437">
        <v>6</v>
      </c>
      <c r="AD27" s="438"/>
      <c r="AE27" s="438"/>
      <c r="AF27" s="438"/>
      <c r="AG27" s="438"/>
      <c r="AH27" s="439"/>
      <c r="AL27" s="106"/>
      <c r="AM27" s="106"/>
      <c r="AN27" s="106"/>
    </row>
    <row r="28" spans="2:47" s="6" customFormat="1" ht="54.95" customHeight="1">
      <c r="C28" s="297" t="str">
        <f>IF('Employee Data Form'!C144:L144="","",'Employee Data Form'!C144:L144)</f>
        <v/>
      </c>
      <c r="D28" s="349"/>
      <c r="E28" s="349"/>
      <c r="F28" s="349"/>
      <c r="G28" s="349"/>
      <c r="H28" s="298"/>
      <c r="I28" s="434" t="str">
        <f>IF(C28="","",(VLOOKUP(C28,'Employee Data Form'!$C$144:$T$147,11,0)))</f>
        <v/>
      </c>
      <c r="J28" s="435"/>
      <c r="K28" s="435"/>
      <c r="L28" s="435"/>
      <c r="M28" s="435"/>
      <c r="N28" s="436"/>
      <c r="O28" s="297" t="str">
        <f>IF(C28="","",VLOOKUP(C28,$AM$2:$AQ$9,2,0))</f>
        <v/>
      </c>
      <c r="P28" s="349"/>
      <c r="Q28" s="349"/>
      <c r="R28" s="298"/>
      <c r="S28" s="297" t="str">
        <f>IF(C28="","",VLOOKUP(C28,$AM$2:$AQ$9,3,0))</f>
        <v/>
      </c>
      <c r="T28" s="349"/>
      <c r="U28" s="349" t="str">
        <f>IF(C28="","",VLOOKUP(C28,$AM$2:$AQ$9,4,0))</f>
        <v/>
      </c>
      <c r="V28" s="349"/>
      <c r="W28" s="349" t="str">
        <f>IF(C28="","",VLOOKUP(C28,$AM$2:$AQ$9,5,0))</f>
        <v/>
      </c>
      <c r="X28" s="298"/>
      <c r="Y28" s="453" t="str">
        <f>IF(C28="","",(VLOOKUP(C28,'Employee Data Form'!$C$144:$X$147,19,0)))</f>
        <v/>
      </c>
      <c r="Z28" s="454"/>
      <c r="AA28" s="454"/>
      <c r="AB28" s="455"/>
      <c r="AC28" s="420" t="str">
        <f>IF(C28="","",(VLOOKUP(C28,'Employee Data Form'!$C$144:$AH$147,23,0)))</f>
        <v/>
      </c>
      <c r="AD28" s="421"/>
      <c r="AE28" s="421"/>
      <c r="AF28" s="421"/>
      <c r="AG28" s="421"/>
      <c r="AH28" s="459"/>
      <c r="AL28" s="59">
        <f>100-SUM($Y$29:$AB$31)</f>
        <v>100</v>
      </c>
      <c r="AM28" s="59"/>
      <c r="AN28" s="106"/>
      <c r="AO28" s="60"/>
    </row>
    <row r="29" spans="2:47" s="6" customFormat="1" ht="54.95" customHeight="1">
      <c r="C29" s="297" t="str">
        <f>IF('Employee Data Form'!C145:L145="","",'Employee Data Form'!C145:L145)</f>
        <v/>
      </c>
      <c r="D29" s="349"/>
      <c r="E29" s="349"/>
      <c r="F29" s="349"/>
      <c r="G29" s="349"/>
      <c r="H29" s="298"/>
      <c r="I29" s="434" t="str">
        <f>IF(C29="","",(VLOOKUP(C29,'Employee Data Form'!$C$144:$T$147,11,0)))</f>
        <v/>
      </c>
      <c r="J29" s="435"/>
      <c r="K29" s="435"/>
      <c r="L29" s="435"/>
      <c r="M29" s="435"/>
      <c r="N29" s="436"/>
      <c r="O29" s="297" t="str">
        <f>IF(C29="","",VLOOKUP(C29,$AM$2:$AQ$9,2,0))</f>
        <v/>
      </c>
      <c r="P29" s="349"/>
      <c r="Q29" s="349"/>
      <c r="R29" s="298"/>
      <c r="S29" s="297" t="str">
        <f>IF(C29="","",VLOOKUP(C29,$AM$2:$AQ$9,3,0))</f>
        <v/>
      </c>
      <c r="T29" s="349"/>
      <c r="U29" s="349" t="str">
        <f>IF(C29="","",VLOOKUP(C29,$AM$2:$AQ$9,4,0))</f>
        <v/>
      </c>
      <c r="V29" s="349"/>
      <c r="W29" s="349" t="str">
        <f>IF(C29="","",VLOOKUP(C29,$AM$2:$AQ$9,5,0))</f>
        <v/>
      </c>
      <c r="X29" s="298"/>
      <c r="Y29" s="453" t="str">
        <f>IF(C29="","",(VLOOKUP(C29,'Employee Data Form'!$C$144:$X$147,19,0)))</f>
        <v/>
      </c>
      <c r="Z29" s="454"/>
      <c r="AA29" s="454"/>
      <c r="AB29" s="455"/>
      <c r="AC29" s="420" t="str">
        <f>IF(C29="","",(VLOOKUP(C29,'Employee Data Form'!$C$144:$AH$147,23,0)))</f>
        <v/>
      </c>
      <c r="AD29" s="421"/>
      <c r="AE29" s="421"/>
      <c r="AF29" s="421"/>
      <c r="AG29" s="421"/>
      <c r="AH29" s="459"/>
      <c r="AL29" s="59">
        <f>100-SUM($Y$28,$Y$30:$AB$31)</f>
        <v>100</v>
      </c>
      <c r="AM29" s="59"/>
      <c r="AN29" s="106"/>
    </row>
    <row r="30" spans="2:47" s="6" customFormat="1" ht="54.95" customHeight="1">
      <c r="C30" s="297" t="str">
        <f>IF('Employee Data Form'!C146:L146="","",'Employee Data Form'!C146:L146)</f>
        <v/>
      </c>
      <c r="D30" s="349"/>
      <c r="E30" s="349"/>
      <c r="F30" s="349"/>
      <c r="G30" s="349"/>
      <c r="H30" s="298"/>
      <c r="I30" s="434" t="str">
        <f>IF(C30="","",(VLOOKUP(C30,'Employee Data Form'!$C$144:$T$147,11,0)))</f>
        <v/>
      </c>
      <c r="J30" s="435"/>
      <c r="K30" s="435"/>
      <c r="L30" s="435"/>
      <c r="M30" s="435"/>
      <c r="N30" s="436"/>
      <c r="O30" s="297" t="str">
        <f>IF(C30="","",VLOOKUP(C30,$AM$2:$AQ$9,2,0))</f>
        <v/>
      </c>
      <c r="P30" s="349"/>
      <c r="Q30" s="349"/>
      <c r="R30" s="298"/>
      <c r="S30" s="297" t="str">
        <f>IF(C30="","",VLOOKUP(C30,$AM$2:$AQ$9,3,0))</f>
        <v/>
      </c>
      <c r="T30" s="349"/>
      <c r="U30" s="349" t="str">
        <f>IF(C30="","",VLOOKUP(C30,$AM$2:$AQ$9,4,0))</f>
        <v/>
      </c>
      <c r="V30" s="349"/>
      <c r="W30" s="349" t="str">
        <f>IF(C30="","",VLOOKUP(C30,$AM$2:$AQ$9,5,0))</f>
        <v/>
      </c>
      <c r="X30" s="298"/>
      <c r="Y30" s="453" t="str">
        <f>IF(C30="","",(VLOOKUP(C30,'Employee Data Form'!$C$144:$X$147,19,0)))</f>
        <v/>
      </c>
      <c r="Z30" s="454"/>
      <c r="AA30" s="454"/>
      <c r="AB30" s="455"/>
      <c r="AC30" s="420" t="str">
        <f>IF(C30="","",(VLOOKUP(C30,'Employee Data Form'!$C$144:$AH$147,23,0)))</f>
        <v/>
      </c>
      <c r="AD30" s="421"/>
      <c r="AE30" s="421"/>
      <c r="AF30" s="421"/>
      <c r="AG30" s="421"/>
      <c r="AH30" s="459"/>
      <c r="AL30" s="59">
        <f>100-SUM($Y$28:$AB$29,$Y$31)</f>
        <v>100</v>
      </c>
      <c r="AM30" s="59"/>
      <c r="AN30" s="106"/>
    </row>
    <row r="31" spans="2:47" s="6" customFormat="1" ht="54.95" customHeight="1">
      <c r="C31" s="297" t="str">
        <f>IF('Employee Data Form'!C147:L147="","",'Employee Data Form'!C147:L147)</f>
        <v/>
      </c>
      <c r="D31" s="349"/>
      <c r="E31" s="349"/>
      <c r="F31" s="349"/>
      <c r="G31" s="349"/>
      <c r="H31" s="298"/>
      <c r="I31" s="434" t="str">
        <f>IF(C31="","",(VLOOKUP(C31,'Employee Data Form'!$C$144:$T$147,11,0)))</f>
        <v/>
      </c>
      <c r="J31" s="435"/>
      <c r="K31" s="435"/>
      <c r="L31" s="435"/>
      <c r="M31" s="435"/>
      <c r="N31" s="436"/>
      <c r="O31" s="297" t="str">
        <f>IF(C31="","",VLOOKUP(C31,$AM$2:$AQ$9,2,0))</f>
        <v/>
      </c>
      <c r="P31" s="349"/>
      <c r="Q31" s="349"/>
      <c r="R31" s="298"/>
      <c r="S31" s="297" t="str">
        <f>IF(C31="","",VLOOKUP(C31,$AM$2:$AQ$9,3,0))</f>
        <v/>
      </c>
      <c r="T31" s="349"/>
      <c r="U31" s="349" t="str">
        <f>IF(C31="","",VLOOKUP(C31,$AM$2:$AQ$9,4,0))</f>
        <v/>
      </c>
      <c r="V31" s="349"/>
      <c r="W31" s="349" t="str">
        <f>IF(C31="","",VLOOKUP(C31,$AM$2:$AQ$9,5,0))</f>
        <v/>
      </c>
      <c r="X31" s="298"/>
      <c r="Y31" s="453" t="str">
        <f>IF(C31="","",(VLOOKUP(C31,'Employee Data Form'!$C$144:$X$147,19,0)))</f>
        <v/>
      </c>
      <c r="Z31" s="454"/>
      <c r="AA31" s="454"/>
      <c r="AB31" s="455"/>
      <c r="AC31" s="420" t="str">
        <f>IF(C31="","",(VLOOKUP(C31,'Employee Data Form'!$C$144:$AH$147,23,0)))</f>
        <v/>
      </c>
      <c r="AD31" s="421"/>
      <c r="AE31" s="421"/>
      <c r="AF31" s="421"/>
      <c r="AG31" s="421"/>
      <c r="AH31" s="459"/>
      <c r="AL31" s="59">
        <f>100-SUM($Y$28:$AB$30)</f>
        <v>100</v>
      </c>
      <c r="AM31" s="59"/>
      <c r="AN31" s="106"/>
    </row>
    <row r="32" spans="2:47" s="6" customFormat="1" ht="5.0999999999999996" customHeight="1">
      <c r="O32" s="153"/>
      <c r="P32" s="153"/>
      <c r="Q32" s="153"/>
      <c r="R32" s="153"/>
      <c r="Y32" s="61"/>
      <c r="Z32" s="60"/>
      <c r="AL32" s="106"/>
      <c r="AM32" s="59"/>
      <c r="AN32" s="106"/>
    </row>
    <row r="33" spans="3:40" s="6" customFormat="1" ht="15" customHeight="1">
      <c r="C33" s="6" t="s">
        <v>32</v>
      </c>
      <c r="E33" s="6" t="s">
        <v>175</v>
      </c>
      <c r="AL33" s="106"/>
      <c r="AM33" s="106"/>
      <c r="AN33" s="106"/>
    </row>
    <row r="34" spans="3:40" s="6" customFormat="1" ht="15" customHeight="1">
      <c r="F34" s="6" t="s">
        <v>176</v>
      </c>
      <c r="AL34" s="106"/>
      <c r="AM34" s="106"/>
      <c r="AN34" s="106"/>
    </row>
    <row r="35" spans="3:40" s="6" customFormat="1" ht="15" customHeight="1">
      <c r="C35" s="6" t="s">
        <v>33</v>
      </c>
      <c r="E35" s="6" t="s">
        <v>247</v>
      </c>
      <c r="AL35" s="106"/>
      <c r="AM35" s="106"/>
      <c r="AN35" s="106"/>
    </row>
    <row r="36" spans="3:40" s="6" customFormat="1" ht="15" customHeight="1">
      <c r="AL36" s="106"/>
      <c r="AM36" s="106"/>
      <c r="AN36" s="106"/>
    </row>
    <row r="37" spans="3:40" s="6" customFormat="1" ht="9.9499999999999993" customHeight="1">
      <c r="AL37" s="106"/>
      <c r="AM37" s="106"/>
      <c r="AN37" s="106"/>
    </row>
    <row r="38" spans="3:40" s="6" customFormat="1" ht="15" customHeight="1">
      <c r="C38" s="6" t="s">
        <v>42</v>
      </c>
      <c r="E38" s="6" t="s">
        <v>102</v>
      </c>
      <c r="S38" s="154">
        <v>2</v>
      </c>
      <c r="T38" s="6" t="s">
        <v>103</v>
      </c>
      <c r="AL38" s="106"/>
      <c r="AM38" s="106"/>
      <c r="AN38" s="106"/>
    </row>
    <row r="39" spans="3:40" s="6" customFormat="1" ht="15" customHeight="1">
      <c r="AF39" s="6" t="s">
        <v>43</v>
      </c>
      <c r="AL39" s="106"/>
      <c r="AM39" s="106"/>
      <c r="AN39" s="106"/>
    </row>
    <row r="40" spans="3:40" ht="15" customHeight="1">
      <c r="R40" s="20">
        <v>6</v>
      </c>
    </row>
    <row r="41" spans="3:40" ht="15" customHeight="1"/>
    <row r="42" spans="3:40" ht="15" customHeight="1"/>
    <row r="43" spans="3:40" ht="15" customHeight="1"/>
    <row r="44" spans="3:40" ht="15" customHeight="1">
      <c r="O44" s="13"/>
      <c r="P44" s="62"/>
      <c r="Q44" s="13"/>
      <c r="R44" s="54" t="s">
        <v>44</v>
      </c>
    </row>
    <row r="45" spans="3:40" ht="15" customHeight="1">
      <c r="O45" s="13"/>
      <c r="P45" s="63"/>
      <c r="Q45" s="13"/>
      <c r="R45" s="64" t="s">
        <v>177</v>
      </c>
    </row>
    <row r="46" spans="3:40" s="6" customFormat="1" ht="15" customHeight="1">
      <c r="C46" s="6" t="s">
        <v>104</v>
      </c>
      <c r="AL46" s="106"/>
      <c r="AM46" s="106"/>
      <c r="AN46" s="106"/>
    </row>
    <row r="47" spans="3:40" s="6" customFormat="1" ht="15" customHeight="1">
      <c r="C47" s="6" t="s">
        <v>105</v>
      </c>
      <c r="AL47" s="106"/>
      <c r="AM47" s="106"/>
      <c r="AN47" s="106"/>
    </row>
    <row r="48" spans="3:40" ht="5.0999999999999996" customHeight="1"/>
    <row r="49" spans="3:40" ht="15" customHeight="1">
      <c r="C49" s="446" t="s">
        <v>106</v>
      </c>
      <c r="D49" s="447"/>
      <c r="E49" s="448"/>
      <c r="F49" s="368" t="s">
        <v>107</v>
      </c>
      <c r="G49" s="369"/>
      <c r="H49" s="369"/>
      <c r="I49" s="369"/>
      <c r="J49" s="369"/>
      <c r="K49" s="369"/>
      <c r="L49" s="369"/>
      <c r="M49" s="369"/>
      <c r="N49" s="369"/>
      <c r="O49" s="369"/>
      <c r="P49" s="369"/>
      <c r="Q49" s="369"/>
      <c r="R49" s="369"/>
      <c r="S49" s="369"/>
      <c r="T49" s="369"/>
      <c r="U49" s="370"/>
      <c r="V49" s="446" t="s">
        <v>5</v>
      </c>
      <c r="W49" s="447"/>
      <c r="X49" s="447"/>
      <c r="Y49" s="447"/>
      <c r="Z49" s="447"/>
      <c r="AA49" s="448"/>
      <c r="AB49" s="446" t="s">
        <v>45</v>
      </c>
      <c r="AC49" s="447"/>
      <c r="AD49" s="447"/>
      <c r="AE49" s="447"/>
      <c r="AF49" s="447"/>
      <c r="AG49" s="447"/>
      <c r="AH49" s="448"/>
    </row>
    <row r="50" spans="3:40" ht="15" customHeight="1">
      <c r="C50" s="449"/>
      <c r="D50" s="450"/>
      <c r="E50" s="451"/>
      <c r="F50" s="125"/>
      <c r="G50" s="452" t="s">
        <v>1</v>
      </c>
      <c r="H50" s="452"/>
      <c r="I50" s="452"/>
      <c r="J50" s="452"/>
      <c r="K50" s="126"/>
      <c r="L50" s="126"/>
      <c r="M50" s="126"/>
      <c r="N50" s="126"/>
      <c r="O50" s="127"/>
      <c r="P50" s="126" t="s">
        <v>25</v>
      </c>
      <c r="Q50" s="126"/>
      <c r="R50" s="126"/>
      <c r="S50" s="126"/>
      <c r="T50" s="126"/>
      <c r="U50" s="128"/>
      <c r="V50" s="449"/>
      <c r="W50" s="450"/>
      <c r="X50" s="450"/>
      <c r="Y50" s="450"/>
      <c r="Z50" s="450"/>
      <c r="AA50" s="451"/>
      <c r="AB50" s="449"/>
      <c r="AC50" s="450"/>
      <c r="AD50" s="450"/>
      <c r="AE50" s="450"/>
      <c r="AF50" s="450"/>
      <c r="AG50" s="450"/>
      <c r="AH50" s="451"/>
    </row>
    <row r="51" spans="3:40" ht="15" customHeight="1">
      <c r="C51" s="431">
        <v>1</v>
      </c>
      <c r="D51" s="432"/>
      <c r="E51" s="433"/>
      <c r="F51" s="129"/>
      <c r="G51" s="130"/>
      <c r="H51" s="432">
        <v>2</v>
      </c>
      <c r="I51" s="432"/>
      <c r="J51" s="130"/>
      <c r="K51" s="130"/>
      <c r="L51" s="130"/>
      <c r="M51" s="130"/>
      <c r="N51" s="130"/>
      <c r="O51" s="130"/>
      <c r="P51" s="432">
        <v>3</v>
      </c>
      <c r="Q51" s="432"/>
      <c r="R51" s="130"/>
      <c r="S51" s="130"/>
      <c r="T51" s="130"/>
      <c r="U51" s="131"/>
      <c r="V51" s="129"/>
      <c r="W51" s="130"/>
      <c r="X51" s="130">
        <v>4</v>
      </c>
      <c r="Y51" s="130"/>
      <c r="Z51" s="130"/>
      <c r="AA51" s="131"/>
      <c r="AB51" s="130"/>
      <c r="AC51" s="130"/>
      <c r="AD51" s="130"/>
      <c r="AE51" s="130">
        <v>5</v>
      </c>
      <c r="AF51" s="130"/>
      <c r="AG51" s="130"/>
      <c r="AH51" s="131"/>
    </row>
    <row r="52" spans="3:40" ht="39.950000000000003" customHeight="1">
      <c r="C52" s="440">
        <v>1</v>
      </c>
      <c r="D52" s="441"/>
      <c r="E52" s="442"/>
      <c r="F52" s="420" t="str">
        <f>IF('Employee Data Form'!C153="","",'Employee Data Form'!C153)</f>
        <v/>
      </c>
      <c r="G52" s="421"/>
      <c r="H52" s="421"/>
      <c r="I52" s="421"/>
      <c r="J52" s="421"/>
      <c r="K52" s="421"/>
      <c r="L52" s="425" t="str">
        <f>IF(F52="","",(VLOOKUP(F52,'Employee Data Form'!$C$153:$T$156,11,0)))</f>
        <v/>
      </c>
      <c r="M52" s="426"/>
      <c r="N52" s="426"/>
      <c r="O52" s="426"/>
      <c r="P52" s="426"/>
      <c r="Q52" s="426"/>
      <c r="R52" s="426"/>
      <c r="S52" s="426"/>
      <c r="T52" s="426"/>
      <c r="U52" s="427"/>
      <c r="V52" s="297" t="str">
        <f>IF(F52="","",VLOOKUP(F52,$AM$2:$AQ$9,3,0))</f>
        <v/>
      </c>
      <c r="W52" s="349"/>
      <c r="X52" s="349" t="str">
        <f>IF(F52="","",VLOOKUP(F52,$AM$2:$AQ$9,4,0))</f>
        <v/>
      </c>
      <c r="Y52" s="349"/>
      <c r="Z52" s="349" t="str">
        <f>IF(F52="","",VLOOKUP(F52,$AM$2:$AQ$9,5,0))</f>
        <v/>
      </c>
      <c r="AA52" s="298"/>
      <c r="AB52" s="297" t="str">
        <f>IF(F52="","",VLOOKUP(F52,$AM$2:$AQ$9,2,0))</f>
        <v/>
      </c>
      <c r="AC52" s="349"/>
      <c r="AD52" s="349"/>
      <c r="AE52" s="349"/>
      <c r="AF52" s="349"/>
      <c r="AG52" s="349"/>
      <c r="AH52" s="298"/>
    </row>
    <row r="53" spans="3:40" ht="39.950000000000003" customHeight="1">
      <c r="C53" s="440">
        <v>2</v>
      </c>
      <c r="D53" s="441"/>
      <c r="E53" s="442"/>
      <c r="F53" s="420" t="str">
        <f>IF('Employee Data Form'!C154="","",'Employee Data Form'!C154)</f>
        <v/>
      </c>
      <c r="G53" s="421"/>
      <c r="H53" s="421"/>
      <c r="I53" s="421"/>
      <c r="J53" s="421"/>
      <c r="K53" s="421"/>
      <c r="L53" s="425" t="str">
        <f>IF(F53="","",(VLOOKUP(F53,'Employee Data Form'!$C$153:$T$156,11,0)))</f>
        <v/>
      </c>
      <c r="M53" s="426"/>
      <c r="N53" s="426"/>
      <c r="O53" s="426"/>
      <c r="P53" s="426"/>
      <c r="Q53" s="426"/>
      <c r="R53" s="426"/>
      <c r="S53" s="426"/>
      <c r="T53" s="426"/>
      <c r="U53" s="427"/>
      <c r="V53" s="297" t="str">
        <f>IF(F53="","",VLOOKUP(F53,$AM$2:$AQ$9,3,0))</f>
        <v/>
      </c>
      <c r="W53" s="349"/>
      <c r="X53" s="349" t="str">
        <f>IF(F53="","",VLOOKUP(F53,$AM$2:$AQ$9,4,0))</f>
        <v/>
      </c>
      <c r="Y53" s="349"/>
      <c r="Z53" s="349" t="str">
        <f>IF(F53="","",VLOOKUP(F53,$AM$2:$AQ$9,5,0))</f>
        <v/>
      </c>
      <c r="AA53" s="298"/>
      <c r="AB53" s="297" t="str">
        <f>IF(F53="","",VLOOKUP(F53,$AM$2:$AQ$9,2,0))</f>
        <v/>
      </c>
      <c r="AC53" s="349"/>
      <c r="AD53" s="349"/>
      <c r="AE53" s="349"/>
      <c r="AF53" s="349"/>
      <c r="AG53" s="349"/>
      <c r="AH53" s="298"/>
    </row>
    <row r="54" spans="3:40" ht="39.950000000000003" customHeight="1">
      <c r="C54" s="440">
        <v>3</v>
      </c>
      <c r="D54" s="441"/>
      <c r="E54" s="442"/>
      <c r="F54" s="420" t="str">
        <f>IF('Employee Data Form'!C155="","",'Employee Data Form'!C155)</f>
        <v/>
      </c>
      <c r="G54" s="421"/>
      <c r="H54" s="421"/>
      <c r="I54" s="421"/>
      <c r="J54" s="421"/>
      <c r="K54" s="421"/>
      <c r="L54" s="425" t="str">
        <f>IF(F54="","",(VLOOKUP(F54,'Employee Data Form'!$C$153:$T$156,11,0)))</f>
        <v/>
      </c>
      <c r="M54" s="426"/>
      <c r="N54" s="426"/>
      <c r="O54" s="426"/>
      <c r="P54" s="426"/>
      <c r="Q54" s="426"/>
      <c r="R54" s="426"/>
      <c r="S54" s="426"/>
      <c r="T54" s="426"/>
      <c r="U54" s="427"/>
      <c r="V54" s="297" t="str">
        <f>IF(F54="","",VLOOKUP(F54,$AM$2:$AQ$9,3,0))</f>
        <v/>
      </c>
      <c r="W54" s="349"/>
      <c r="X54" s="349" t="str">
        <f>IF(F54="","",VLOOKUP(F54,$AM$2:$AQ$9,4,0))</f>
        <v/>
      </c>
      <c r="Y54" s="349"/>
      <c r="Z54" s="349" t="str">
        <f>IF(F54="","",VLOOKUP(F54,$AM$2:$AQ$9,5,0))</f>
        <v/>
      </c>
      <c r="AA54" s="298"/>
      <c r="AB54" s="297" t="str">
        <f>IF(F54="","",VLOOKUP(F54,$AM$2:$AQ$9,2,0))</f>
        <v/>
      </c>
      <c r="AC54" s="349"/>
      <c r="AD54" s="349"/>
      <c r="AE54" s="349"/>
      <c r="AF54" s="349"/>
      <c r="AG54" s="349"/>
      <c r="AH54" s="298"/>
    </row>
    <row r="55" spans="3:40" ht="39.950000000000003" customHeight="1">
      <c r="C55" s="440">
        <v>4</v>
      </c>
      <c r="D55" s="441"/>
      <c r="E55" s="442"/>
      <c r="F55" s="420" t="str">
        <f>IF('Employee Data Form'!C156="","",'Employee Data Form'!C156)</f>
        <v/>
      </c>
      <c r="G55" s="421"/>
      <c r="H55" s="421"/>
      <c r="I55" s="421"/>
      <c r="J55" s="421"/>
      <c r="K55" s="421"/>
      <c r="L55" s="425" t="str">
        <f>IF(F55="","",(VLOOKUP(F55,'Employee Data Form'!$C$153:$T$156,11,0)))</f>
        <v/>
      </c>
      <c r="M55" s="426"/>
      <c r="N55" s="426"/>
      <c r="O55" s="426"/>
      <c r="P55" s="426"/>
      <c r="Q55" s="426"/>
      <c r="R55" s="426"/>
      <c r="S55" s="426"/>
      <c r="T55" s="426"/>
      <c r="U55" s="427"/>
      <c r="V55" s="297" t="str">
        <f>IF(F55="","",VLOOKUP(F55,$AM$2:$AQ$9,3,0))</f>
        <v/>
      </c>
      <c r="W55" s="349"/>
      <c r="X55" s="349" t="str">
        <f>IF(F55="","",VLOOKUP(F55,$AM$2:$AQ$9,4,0))</f>
        <v/>
      </c>
      <c r="Y55" s="349"/>
      <c r="Z55" s="349" t="str">
        <f>IF(F55="","",VLOOKUP(F55,$AM$2:$AQ$9,5,0))</f>
        <v/>
      </c>
      <c r="AA55" s="298"/>
      <c r="AB55" s="297" t="str">
        <f>IF(F55="","",VLOOKUP(F55,$AM$2:$AQ$9,2,0))</f>
        <v/>
      </c>
      <c r="AC55" s="349"/>
      <c r="AD55" s="349"/>
      <c r="AE55" s="349"/>
      <c r="AF55" s="349"/>
      <c r="AG55" s="349"/>
      <c r="AH55" s="298"/>
    </row>
    <row r="56" spans="3:40" s="6" customFormat="1" ht="15" customHeight="1">
      <c r="C56" s="6" t="s">
        <v>178</v>
      </c>
      <c r="AL56" s="106"/>
      <c r="AM56" s="106"/>
      <c r="AN56" s="106"/>
    </row>
    <row r="57" spans="3:40" s="6" customFormat="1" ht="15" customHeight="1">
      <c r="C57" s="6" t="s">
        <v>179</v>
      </c>
      <c r="AL57" s="106"/>
      <c r="AM57" s="106"/>
      <c r="AN57" s="106"/>
    </row>
    <row r="58" spans="3:40" s="6" customFormat="1" ht="9.9499999999999993" customHeight="1">
      <c r="AL58" s="106"/>
      <c r="AM58" s="106"/>
      <c r="AN58" s="106"/>
    </row>
    <row r="59" spans="3:40" s="6" customFormat="1" ht="15" customHeight="1">
      <c r="C59" s="6" t="s">
        <v>108</v>
      </c>
      <c r="AL59" s="106"/>
      <c r="AM59" s="106"/>
      <c r="AN59" s="106"/>
    </row>
    <row r="60" spans="3:40" s="6" customFormat="1" ht="15" customHeight="1">
      <c r="C60" s="6" t="s">
        <v>180</v>
      </c>
      <c r="AL60" s="106"/>
      <c r="AM60" s="106"/>
      <c r="AN60" s="106"/>
    </row>
    <row r="61" spans="3:40" ht="15" customHeight="1">
      <c r="C61" s="428" t="s">
        <v>109</v>
      </c>
      <c r="D61" s="429"/>
      <c r="E61" s="429"/>
      <c r="F61" s="429"/>
      <c r="G61" s="429"/>
      <c r="H61" s="429"/>
      <c r="I61" s="429"/>
      <c r="J61" s="429"/>
      <c r="K61" s="429"/>
      <c r="L61" s="429"/>
      <c r="M61" s="429"/>
      <c r="N61" s="429"/>
      <c r="O61" s="429"/>
      <c r="P61" s="429"/>
      <c r="Q61" s="429"/>
      <c r="R61" s="429"/>
      <c r="S61" s="429"/>
      <c r="T61" s="430"/>
      <c r="U61" s="428" t="s">
        <v>5</v>
      </c>
      <c r="V61" s="429"/>
      <c r="W61" s="429"/>
      <c r="X61" s="429"/>
      <c r="Y61" s="429"/>
      <c r="Z61" s="430"/>
      <c r="AA61" s="428" t="s">
        <v>46</v>
      </c>
      <c r="AB61" s="429"/>
      <c r="AC61" s="429"/>
      <c r="AD61" s="429"/>
      <c r="AE61" s="429"/>
      <c r="AF61" s="429"/>
      <c r="AG61" s="429"/>
      <c r="AH61" s="430"/>
    </row>
    <row r="62" spans="3:40" ht="15" customHeight="1">
      <c r="C62" s="431">
        <v>1</v>
      </c>
      <c r="D62" s="432"/>
      <c r="E62" s="432"/>
      <c r="F62" s="432"/>
      <c r="G62" s="432"/>
      <c r="H62" s="432"/>
      <c r="I62" s="432"/>
      <c r="J62" s="432"/>
      <c r="K62" s="432"/>
      <c r="L62" s="432"/>
      <c r="M62" s="432"/>
      <c r="N62" s="432"/>
      <c r="O62" s="432"/>
      <c r="P62" s="432"/>
      <c r="Q62" s="432"/>
      <c r="R62" s="432"/>
      <c r="S62" s="432"/>
      <c r="T62" s="433"/>
      <c r="U62" s="431">
        <v>2</v>
      </c>
      <c r="V62" s="432"/>
      <c r="W62" s="432"/>
      <c r="X62" s="432"/>
      <c r="Y62" s="432"/>
      <c r="Z62" s="433"/>
      <c r="AA62" s="431">
        <v>3</v>
      </c>
      <c r="AB62" s="432"/>
      <c r="AC62" s="432"/>
      <c r="AD62" s="432"/>
      <c r="AE62" s="432"/>
      <c r="AF62" s="432"/>
      <c r="AG62" s="432"/>
      <c r="AH62" s="433"/>
    </row>
    <row r="63" spans="3:40" ht="39.950000000000003" customHeight="1">
      <c r="C63" s="420"/>
      <c r="D63" s="421"/>
      <c r="E63" s="421"/>
      <c r="F63" s="421"/>
      <c r="G63" s="421"/>
      <c r="H63" s="421"/>
      <c r="I63" s="422"/>
      <c r="J63" s="423"/>
      <c r="K63" s="423"/>
      <c r="L63" s="423"/>
      <c r="M63" s="423"/>
      <c r="N63" s="423"/>
      <c r="O63" s="423"/>
      <c r="P63" s="423"/>
      <c r="Q63" s="423"/>
      <c r="R63" s="423"/>
      <c r="S63" s="423"/>
      <c r="T63" s="424"/>
      <c r="U63" s="297" t="str">
        <f>IF(C63="","",VLOOKUP(C63,$AM$2:$AQ$9,3,0))</f>
        <v/>
      </c>
      <c r="V63" s="349"/>
      <c r="W63" s="349" t="str">
        <f>IF(C63="","",VLOOKUP(C63,$AM$2:$AQ$9,4,0))</f>
        <v/>
      </c>
      <c r="X63" s="349"/>
      <c r="Y63" s="349" t="str">
        <f>IF(C63="","",VLOOKUP(C63,$AM$2:$AQ$9,5,0))</f>
        <v/>
      </c>
      <c r="Z63" s="298"/>
      <c r="AA63" s="297" t="str">
        <f>IF(C63="","",VLOOKUP(C63,$AM$2:$AQ$9,2,0))</f>
        <v/>
      </c>
      <c r="AB63" s="349"/>
      <c r="AC63" s="349"/>
      <c r="AD63" s="349"/>
      <c r="AE63" s="349"/>
      <c r="AF63" s="349"/>
      <c r="AG63" s="349"/>
      <c r="AH63" s="298"/>
    </row>
    <row r="64" spans="3:40" ht="39.950000000000003" customHeight="1">
      <c r="C64" s="420"/>
      <c r="D64" s="421"/>
      <c r="E64" s="421"/>
      <c r="F64" s="421"/>
      <c r="G64" s="421"/>
      <c r="H64" s="421"/>
      <c r="I64" s="422"/>
      <c r="J64" s="423"/>
      <c r="K64" s="423"/>
      <c r="L64" s="423"/>
      <c r="M64" s="423"/>
      <c r="N64" s="423"/>
      <c r="O64" s="423"/>
      <c r="P64" s="423"/>
      <c r="Q64" s="423"/>
      <c r="R64" s="423"/>
      <c r="S64" s="423"/>
      <c r="T64" s="424"/>
      <c r="U64" s="297" t="str">
        <f>IF(C64="","",VLOOKUP(C64,$AM$2:$AQ$9,3,0))</f>
        <v/>
      </c>
      <c r="V64" s="349"/>
      <c r="W64" s="349" t="str">
        <f>IF(C64="","",VLOOKUP(C64,$AM$2:$AQ$9,4,0))</f>
        <v/>
      </c>
      <c r="X64" s="349"/>
      <c r="Y64" s="349" t="str">
        <f>IF(C64="","",VLOOKUP(C64,$AM$2:$AQ$9,5,0))</f>
        <v/>
      </c>
      <c r="Z64" s="298"/>
      <c r="AA64" s="297" t="str">
        <f>IF(C64="","",VLOOKUP(C64,$AM$2:$AQ$9,2,0))</f>
        <v/>
      </c>
      <c r="AB64" s="349"/>
      <c r="AC64" s="349"/>
      <c r="AD64" s="349"/>
      <c r="AE64" s="349"/>
      <c r="AF64" s="349"/>
      <c r="AG64" s="349"/>
      <c r="AH64" s="298"/>
    </row>
    <row r="65" spans="3:40" ht="39.950000000000003" customHeight="1">
      <c r="C65" s="420"/>
      <c r="D65" s="421"/>
      <c r="E65" s="421"/>
      <c r="F65" s="421"/>
      <c r="G65" s="421"/>
      <c r="H65" s="421"/>
      <c r="I65" s="422"/>
      <c r="J65" s="423"/>
      <c r="K65" s="423"/>
      <c r="L65" s="423"/>
      <c r="M65" s="423"/>
      <c r="N65" s="423"/>
      <c r="O65" s="423"/>
      <c r="P65" s="423"/>
      <c r="Q65" s="423"/>
      <c r="R65" s="423"/>
      <c r="S65" s="423"/>
      <c r="T65" s="424"/>
      <c r="U65" s="297" t="str">
        <f>IF(C65="","",VLOOKUP(C65,$AM$2:$AQ$9,3,0))</f>
        <v/>
      </c>
      <c r="V65" s="349"/>
      <c r="W65" s="349" t="str">
        <f>IF(C65="","",VLOOKUP(C65,$AM$2:$AQ$9,4,0))</f>
        <v/>
      </c>
      <c r="X65" s="349"/>
      <c r="Y65" s="349" t="str">
        <f>IF(C65="","",VLOOKUP(C65,$AM$2:$AQ$9,5,0))</f>
        <v/>
      </c>
      <c r="Z65" s="298"/>
      <c r="AA65" s="297" t="str">
        <f>IF(C65="","",VLOOKUP(C65,$AM$2:$AQ$9,2,0))</f>
        <v/>
      </c>
      <c r="AB65" s="349"/>
      <c r="AC65" s="349"/>
      <c r="AD65" s="349"/>
      <c r="AE65" s="349"/>
      <c r="AF65" s="349"/>
      <c r="AG65" s="349"/>
      <c r="AH65" s="298"/>
    </row>
    <row r="66" spans="3:40" s="6" customFormat="1" ht="9.9499999999999993" customHeight="1">
      <c r="AL66" s="106"/>
      <c r="AM66" s="106"/>
      <c r="AN66" s="106"/>
    </row>
    <row r="67" spans="3:40" s="6" customFormat="1" ht="15" customHeight="1">
      <c r="C67" s="6" t="s">
        <v>85</v>
      </c>
      <c r="E67" s="445" t="str">
        <f ca="1">'Employee Data Form'!H218</f>
        <v>30-NOV-2022</v>
      </c>
      <c r="F67" s="445"/>
      <c r="G67" s="445"/>
      <c r="H67" s="445"/>
      <c r="I67" s="445"/>
      <c r="J67" s="445"/>
      <c r="K67" s="445"/>
      <c r="L67" s="445"/>
      <c r="AL67" s="106"/>
      <c r="AM67" s="106"/>
      <c r="AN67" s="106"/>
    </row>
    <row r="68" spans="3:40" s="6" customFormat="1" ht="5.0999999999999996" customHeight="1">
      <c r="AL68" s="106"/>
      <c r="AM68" s="106"/>
      <c r="AN68" s="106"/>
    </row>
    <row r="69" spans="3:40" s="6" customFormat="1" ht="15" customHeight="1">
      <c r="C69" s="7"/>
      <c r="D69" s="7"/>
      <c r="E69" s="7"/>
      <c r="F69" s="7"/>
      <c r="G69" s="7"/>
      <c r="H69" s="7"/>
      <c r="I69" s="7"/>
      <c r="J69" s="7"/>
      <c r="K69" s="7"/>
      <c r="L69" s="7"/>
      <c r="M69" s="7"/>
      <c r="N69" s="7"/>
      <c r="O69" s="7"/>
      <c r="T69" s="39"/>
      <c r="U69" s="39"/>
      <c r="V69" s="39"/>
      <c r="W69" s="39"/>
      <c r="X69" s="39"/>
      <c r="Y69" s="39"/>
      <c r="Z69" s="39"/>
      <c r="AA69" s="39"/>
      <c r="AB69" s="39"/>
      <c r="AC69" s="39"/>
      <c r="AD69" s="39"/>
      <c r="AE69" s="39"/>
      <c r="AF69" s="39"/>
      <c r="AG69" s="39"/>
      <c r="AH69" s="39"/>
      <c r="AL69" s="106"/>
      <c r="AM69" s="106"/>
      <c r="AN69" s="106"/>
    </row>
    <row r="70" spans="3:40" s="6" customFormat="1" ht="15" customHeight="1">
      <c r="C70" s="6" t="s">
        <v>110</v>
      </c>
      <c r="S70" s="154">
        <v>3</v>
      </c>
      <c r="T70" s="6" t="s">
        <v>47</v>
      </c>
      <c r="AL70" s="106"/>
      <c r="AM70" s="106"/>
      <c r="AN70" s="106"/>
    </row>
    <row r="71" spans="3:40" s="6" customFormat="1" ht="9.9499999999999993" customHeight="1">
      <c r="O71" s="7"/>
      <c r="P71" s="443"/>
      <c r="Q71" s="443"/>
      <c r="AL71" s="106"/>
      <c r="AM71" s="106"/>
      <c r="AN71" s="106"/>
    </row>
    <row r="72" spans="3:40" s="6" customFormat="1" ht="15" customHeight="1">
      <c r="O72" s="1"/>
      <c r="P72" s="12"/>
      <c r="Q72" s="12"/>
      <c r="R72" s="54" t="s">
        <v>48</v>
      </c>
      <c r="S72" s="12"/>
      <c r="T72" s="12"/>
      <c r="U72" s="12"/>
      <c r="V72" s="12"/>
      <c r="W72" s="12"/>
      <c r="AL72" s="106"/>
      <c r="AM72" s="106"/>
      <c r="AN72" s="106"/>
    </row>
    <row r="73" spans="3:40" s="6" customFormat="1" ht="15" customHeight="1">
      <c r="C73" s="6" t="s">
        <v>182</v>
      </c>
      <c r="AL73" s="13"/>
      <c r="AM73" s="13"/>
      <c r="AN73" s="13"/>
    </row>
    <row r="74" spans="3:40" s="6" customFormat="1" ht="15" customHeight="1">
      <c r="C74" s="6" t="s">
        <v>181</v>
      </c>
      <c r="E74" s="445" t="str">
        <f>TRIM(CONCATENATE(IF('Employee Data Form'!S9="","",UPPER('Employee Data Form'!S9))," ",IF('Employee Data Form'!AA9="","",UPPER('Employee Data Form'!AA9))," ",IF('Employee Data Form'!K9="","",UPPER('Employee Data Form'!K9))))</f>
        <v>SRIKANTH KOMMULA</v>
      </c>
      <c r="F74" s="445"/>
      <c r="G74" s="445"/>
      <c r="H74" s="445"/>
      <c r="I74" s="445"/>
      <c r="J74" s="445"/>
      <c r="K74" s="445"/>
      <c r="L74" s="445"/>
      <c r="M74" s="445"/>
      <c r="N74" s="445"/>
      <c r="O74" s="445"/>
      <c r="P74" s="445"/>
      <c r="Q74" s="445"/>
      <c r="R74" s="445"/>
      <c r="S74" s="445"/>
      <c r="T74" s="445"/>
      <c r="U74" s="445"/>
      <c r="V74" s="445"/>
      <c r="W74" s="445"/>
      <c r="X74" s="445"/>
      <c r="Y74" s="445"/>
      <c r="Z74" s="445"/>
      <c r="AA74" s="445"/>
      <c r="AB74" s="445"/>
      <c r="AC74" s="445"/>
      <c r="AD74" s="445"/>
      <c r="AE74" s="445"/>
      <c r="AF74" s="445"/>
      <c r="AG74" s="445"/>
      <c r="AH74" s="445"/>
      <c r="AL74" s="106"/>
      <c r="AM74" s="106"/>
      <c r="AN74" s="106"/>
    </row>
    <row r="75" spans="3:40" s="6" customFormat="1" ht="5.0999999999999996" customHeight="1">
      <c r="AL75" s="106"/>
      <c r="AM75" s="106"/>
      <c r="AN75" s="106"/>
    </row>
    <row r="76" spans="3:40" s="6" customFormat="1" ht="15" customHeight="1">
      <c r="C76" s="6" t="s">
        <v>183</v>
      </c>
      <c r="AL76" s="106"/>
      <c r="AM76" s="106"/>
      <c r="AN76" s="106"/>
    </row>
    <row r="77" spans="3:40" s="6" customFormat="1" ht="15" customHeight="1">
      <c r="C77" s="6" t="s">
        <v>184</v>
      </c>
      <c r="AL77" s="106"/>
      <c r="AM77" s="106"/>
      <c r="AN77" s="106"/>
    </row>
    <row r="78" spans="3:40" s="6" customFormat="1" ht="5.0999999999999996" customHeight="1">
      <c r="AL78" s="106"/>
      <c r="AM78" s="106"/>
      <c r="AN78" s="106"/>
    </row>
    <row r="79" spans="3:40" s="6" customFormat="1" ht="15" customHeight="1">
      <c r="C79" s="6" t="s">
        <v>49</v>
      </c>
      <c r="E79" s="445" t="str">
        <f>IF('Employee Data Form'!AA218="","",UPPER('Employee Data Form'!AA218))</f>
        <v/>
      </c>
      <c r="F79" s="445"/>
      <c r="G79" s="445"/>
      <c r="H79" s="445"/>
      <c r="I79" s="445"/>
      <c r="J79" s="445"/>
      <c r="K79" s="445"/>
      <c r="L79" s="445"/>
      <c r="M79" s="445"/>
      <c r="V79" s="39"/>
      <c r="W79" s="39"/>
      <c r="X79" s="39"/>
      <c r="Y79" s="39"/>
      <c r="Z79" s="39"/>
      <c r="AA79" s="39"/>
      <c r="AB79" s="39"/>
      <c r="AC79" s="39"/>
      <c r="AD79" s="39"/>
      <c r="AE79" s="39"/>
      <c r="AF79" s="39"/>
      <c r="AG79" s="39"/>
      <c r="AH79" s="39"/>
      <c r="AL79" s="106"/>
      <c r="AM79" s="106"/>
      <c r="AN79" s="106"/>
    </row>
    <row r="80" spans="3:40" s="6" customFormat="1" ht="15" customHeight="1">
      <c r="V80" s="6" t="s">
        <v>111</v>
      </c>
      <c r="AL80" s="106"/>
      <c r="AM80" s="106"/>
      <c r="AN80" s="106"/>
    </row>
    <row r="81" spans="1:40" s="6" customFormat="1" ht="15" customHeight="1">
      <c r="V81" s="444" t="s">
        <v>112</v>
      </c>
      <c r="W81" s="444"/>
      <c r="X81" s="444"/>
      <c r="Y81" s="444"/>
      <c r="Z81" s="444"/>
      <c r="AA81" s="444"/>
      <c r="AB81" s="444"/>
      <c r="AC81" s="444"/>
      <c r="AD81" s="444"/>
      <c r="AE81" s="444"/>
      <c r="AF81" s="444"/>
      <c r="AG81" s="444"/>
      <c r="AH81" s="444"/>
      <c r="AL81" s="106"/>
      <c r="AM81" s="106"/>
      <c r="AN81" s="106"/>
    </row>
    <row r="82" spans="1:40" s="6" customFormat="1" ht="15" customHeight="1">
      <c r="V82" s="153"/>
      <c r="W82" s="153"/>
      <c r="X82" s="153"/>
      <c r="Y82" s="153"/>
      <c r="Z82" s="153"/>
      <c r="AA82" s="153"/>
      <c r="AB82" s="153"/>
      <c r="AC82" s="153"/>
      <c r="AD82" s="153"/>
      <c r="AE82" s="153"/>
      <c r="AF82" s="153"/>
      <c r="AG82" s="153"/>
      <c r="AH82" s="153"/>
      <c r="AL82" s="106"/>
      <c r="AM82" s="106"/>
      <c r="AN82" s="106"/>
    </row>
    <row r="83" spans="1:40" s="6" customFormat="1" ht="15" customHeight="1">
      <c r="V83" s="6" t="s">
        <v>101</v>
      </c>
      <c r="Z83" s="445"/>
      <c r="AA83" s="445"/>
      <c r="AB83" s="445"/>
      <c r="AC83" s="445"/>
      <c r="AD83" s="445"/>
      <c r="AE83" s="445"/>
      <c r="AF83" s="445"/>
      <c r="AG83" s="445"/>
      <c r="AH83" s="445"/>
      <c r="AL83" s="106"/>
      <c r="AM83" s="106"/>
      <c r="AN83" s="106"/>
    </row>
    <row r="84" spans="1:40" s="6" customFormat="1" ht="15" customHeight="1">
      <c r="N84" s="12" t="s">
        <v>113</v>
      </c>
      <c r="AL84" s="106"/>
      <c r="AM84" s="106"/>
      <c r="AN84" s="106"/>
    </row>
    <row r="85" spans="1:40" s="6" customFormat="1" ht="15" customHeight="1">
      <c r="AL85" s="106"/>
      <c r="AM85" s="106"/>
      <c r="AN85" s="106"/>
    </row>
    <row r="86" spans="1:40" s="6" customFormat="1" ht="15" customHeight="1">
      <c r="R86" s="20">
        <v>7</v>
      </c>
      <c r="AL86" s="106"/>
      <c r="AM86" s="106"/>
      <c r="AN86" s="106"/>
    </row>
    <row r="88" spans="1:40" s="6" customFormat="1" ht="15" hidden="1" customHeight="1">
      <c r="A88" s="106"/>
      <c r="B88" s="106"/>
      <c r="C88" s="106"/>
      <c r="D88" s="106"/>
      <c r="E88" s="106"/>
      <c r="F88" s="106"/>
      <c r="G88" s="106"/>
      <c r="H88" s="106"/>
      <c r="I88" s="106"/>
      <c r="J88" s="106"/>
      <c r="K88" s="106"/>
      <c r="L88" s="106"/>
      <c r="M88" s="106"/>
      <c r="N88" s="106"/>
      <c r="O88" s="106"/>
      <c r="P88" s="106"/>
      <c r="Q88" s="106"/>
      <c r="R88" s="106"/>
      <c r="S88" s="106"/>
      <c r="T88" s="106"/>
      <c r="U88" s="106"/>
      <c r="V88" s="106"/>
      <c r="W88" s="106"/>
      <c r="X88" s="106"/>
      <c r="Y88" s="106"/>
      <c r="Z88" s="106"/>
      <c r="AA88" s="106"/>
      <c r="AB88" s="106"/>
      <c r="AC88" s="106"/>
      <c r="AD88" s="106"/>
      <c r="AE88" s="106"/>
      <c r="AF88" s="106"/>
      <c r="AG88" s="106"/>
      <c r="AH88" s="106"/>
      <c r="AI88" s="106"/>
      <c r="AJ88" s="106"/>
      <c r="AL88" s="106"/>
      <c r="AM88" s="106"/>
      <c r="AN88" s="106"/>
    </row>
    <row r="89" spans="1:40" s="6" customFormat="1" ht="15" hidden="1" customHeight="1">
      <c r="A89" s="106"/>
      <c r="B89" s="106"/>
      <c r="C89" s="106"/>
      <c r="D89" s="106"/>
      <c r="E89" s="106"/>
      <c r="F89" s="106"/>
      <c r="G89" s="106"/>
      <c r="H89" s="106"/>
      <c r="I89" s="106"/>
      <c r="J89" s="106"/>
      <c r="K89" s="106"/>
      <c r="L89" s="106"/>
      <c r="M89" s="106"/>
      <c r="N89" s="106"/>
      <c r="O89" s="106"/>
      <c r="P89" s="106"/>
      <c r="Q89" s="106"/>
      <c r="R89" s="106"/>
      <c r="S89" s="106"/>
      <c r="T89" s="106"/>
      <c r="U89" s="106"/>
      <c r="V89" s="106"/>
      <c r="W89" s="106"/>
      <c r="X89" s="106"/>
      <c r="Y89" s="106"/>
      <c r="Z89" s="106"/>
      <c r="AA89" s="106"/>
      <c r="AB89" s="106"/>
      <c r="AC89" s="106"/>
      <c r="AD89" s="106"/>
      <c r="AE89" s="106"/>
      <c r="AF89" s="106"/>
      <c r="AG89" s="106"/>
      <c r="AH89" s="106"/>
      <c r="AI89" s="106"/>
      <c r="AJ89" s="106"/>
      <c r="AL89" s="106"/>
      <c r="AM89" s="106"/>
      <c r="AN89" s="106"/>
    </row>
    <row r="90" spans="1:40" s="6" customFormat="1" ht="15" hidden="1" customHeight="1">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I90" s="106"/>
      <c r="AJ90" s="106"/>
      <c r="AL90" s="106"/>
      <c r="AM90" s="106"/>
      <c r="AN90" s="106"/>
    </row>
    <row r="91" spans="1:40" s="6" customFormat="1" ht="15" hidden="1" customHeight="1">
      <c r="A91" s="106"/>
      <c r="B91" s="106"/>
      <c r="C91" s="106"/>
      <c r="D91" s="106"/>
      <c r="E91" s="106"/>
      <c r="F91" s="106"/>
      <c r="G91" s="106"/>
      <c r="H91" s="106"/>
      <c r="I91" s="106"/>
      <c r="J91" s="106"/>
      <c r="K91" s="106"/>
      <c r="L91" s="106"/>
      <c r="M91" s="106"/>
      <c r="N91" s="106"/>
      <c r="O91" s="106"/>
      <c r="P91" s="106"/>
      <c r="Q91" s="106"/>
      <c r="R91" s="106"/>
      <c r="S91" s="106"/>
      <c r="T91" s="106"/>
      <c r="U91" s="106"/>
      <c r="V91" s="106"/>
      <c r="W91" s="106"/>
      <c r="X91" s="106"/>
      <c r="Y91" s="106"/>
      <c r="Z91" s="106"/>
      <c r="AA91" s="106"/>
      <c r="AB91" s="106"/>
      <c r="AC91" s="106"/>
      <c r="AD91" s="106"/>
      <c r="AE91" s="106"/>
      <c r="AF91" s="106"/>
      <c r="AG91" s="106"/>
      <c r="AH91" s="106"/>
      <c r="AI91" s="106"/>
      <c r="AJ91" s="106"/>
      <c r="AL91" s="106"/>
      <c r="AM91" s="106"/>
      <c r="AN91" s="106"/>
    </row>
    <row r="92" spans="1:40" s="6" customFormat="1" ht="15" hidden="1" customHeight="1">
      <c r="A92" s="106"/>
      <c r="B92" s="106"/>
      <c r="C92" s="106"/>
      <c r="D92" s="106"/>
      <c r="E92" s="106"/>
      <c r="F92" s="106"/>
      <c r="G92" s="106"/>
      <c r="H92" s="106"/>
      <c r="I92" s="106"/>
      <c r="J92" s="106"/>
      <c r="K92" s="106"/>
      <c r="L92" s="106"/>
      <c r="M92" s="106"/>
      <c r="N92" s="106"/>
      <c r="O92" s="106"/>
      <c r="P92" s="106"/>
      <c r="Q92" s="106"/>
      <c r="R92" s="106"/>
      <c r="S92" s="106"/>
      <c r="T92" s="106"/>
      <c r="U92" s="106"/>
      <c r="V92" s="106"/>
      <c r="W92" s="106"/>
      <c r="X92" s="106"/>
      <c r="Y92" s="106"/>
      <c r="Z92" s="106"/>
      <c r="AA92" s="106"/>
      <c r="AB92" s="106"/>
      <c r="AC92" s="106"/>
      <c r="AD92" s="106"/>
      <c r="AE92" s="106"/>
      <c r="AF92" s="106"/>
      <c r="AG92" s="106"/>
      <c r="AH92" s="106"/>
      <c r="AI92" s="106"/>
      <c r="AJ92" s="106"/>
      <c r="AL92" s="106"/>
      <c r="AM92" s="106"/>
      <c r="AN92" s="106"/>
    </row>
    <row r="93" spans="1:40" s="6" customFormat="1" ht="15" hidden="1" customHeight="1">
      <c r="A93" s="106"/>
      <c r="B93" s="106"/>
      <c r="C93" s="106"/>
      <c r="D93" s="106"/>
      <c r="E93" s="106"/>
      <c r="F93" s="106"/>
      <c r="G93" s="106"/>
      <c r="H93" s="106"/>
      <c r="I93" s="106"/>
      <c r="J93" s="106"/>
      <c r="K93" s="106"/>
      <c r="L93" s="106"/>
      <c r="M93" s="106"/>
      <c r="N93" s="106"/>
      <c r="O93" s="106"/>
      <c r="P93" s="106"/>
      <c r="Q93" s="106"/>
      <c r="R93" s="106"/>
      <c r="S93" s="106"/>
      <c r="T93" s="106"/>
      <c r="U93" s="106"/>
      <c r="V93" s="106"/>
      <c r="W93" s="106"/>
      <c r="X93" s="106"/>
      <c r="Y93" s="106"/>
      <c r="Z93" s="106"/>
      <c r="AA93" s="106"/>
      <c r="AB93" s="106"/>
      <c r="AC93" s="106"/>
      <c r="AD93" s="106"/>
      <c r="AE93" s="106"/>
      <c r="AF93" s="106"/>
      <c r="AG93" s="106"/>
      <c r="AH93" s="106"/>
      <c r="AI93" s="106"/>
      <c r="AJ93" s="106"/>
      <c r="AL93" s="106"/>
      <c r="AM93" s="106"/>
      <c r="AN93" s="106"/>
    </row>
    <row r="94" spans="1:40" s="6" customFormat="1" ht="15" hidden="1" customHeight="1">
      <c r="A94" s="106"/>
      <c r="B94" s="106"/>
      <c r="C94" s="106"/>
      <c r="D94" s="106"/>
      <c r="E94" s="106"/>
      <c r="F94" s="106"/>
      <c r="G94" s="106"/>
      <c r="H94" s="106"/>
      <c r="I94" s="106"/>
      <c r="J94" s="106"/>
      <c r="K94" s="106"/>
      <c r="L94" s="106"/>
      <c r="M94" s="106"/>
      <c r="N94" s="106"/>
      <c r="O94" s="106"/>
      <c r="P94" s="106"/>
      <c r="Q94" s="106"/>
      <c r="R94" s="106"/>
      <c r="S94" s="106"/>
      <c r="T94" s="106"/>
      <c r="U94" s="106"/>
      <c r="V94" s="106"/>
      <c r="W94" s="106"/>
      <c r="X94" s="106"/>
      <c r="Y94" s="106"/>
      <c r="Z94" s="106"/>
      <c r="AA94" s="106"/>
      <c r="AB94" s="106"/>
      <c r="AC94" s="106"/>
      <c r="AD94" s="106"/>
      <c r="AE94" s="106"/>
      <c r="AF94" s="106"/>
      <c r="AG94" s="106"/>
      <c r="AH94" s="106"/>
      <c r="AI94" s="106"/>
      <c r="AJ94" s="106"/>
      <c r="AL94" s="106"/>
      <c r="AM94" s="106"/>
      <c r="AN94" s="106"/>
    </row>
    <row r="95" spans="1:40" s="6" customFormat="1" ht="15" hidden="1" customHeight="1">
      <c r="A95" s="106"/>
      <c r="B95" s="106"/>
      <c r="C95" s="106"/>
      <c r="D95" s="106"/>
      <c r="E95" s="106"/>
      <c r="F95" s="106"/>
      <c r="G95" s="106"/>
      <c r="H95" s="106"/>
      <c r="I95" s="106"/>
      <c r="J95" s="106"/>
      <c r="K95" s="106"/>
      <c r="L95" s="106"/>
      <c r="M95" s="106"/>
      <c r="N95" s="106"/>
      <c r="O95" s="106"/>
      <c r="P95" s="106"/>
      <c r="Q95" s="106"/>
      <c r="R95" s="106"/>
      <c r="S95" s="106"/>
      <c r="T95" s="106"/>
      <c r="U95" s="106"/>
      <c r="V95" s="106"/>
      <c r="W95" s="106"/>
      <c r="X95" s="106"/>
      <c r="Y95" s="106"/>
      <c r="Z95" s="106"/>
      <c r="AA95" s="106"/>
      <c r="AB95" s="106"/>
      <c r="AC95" s="106"/>
      <c r="AD95" s="106"/>
      <c r="AE95" s="106"/>
      <c r="AF95" s="106"/>
      <c r="AG95" s="106"/>
      <c r="AH95" s="106"/>
      <c r="AI95" s="106"/>
      <c r="AJ95" s="106"/>
      <c r="AL95" s="106"/>
      <c r="AM95" s="106"/>
      <c r="AN95" s="106"/>
    </row>
    <row r="96" spans="1:40" s="6" customFormat="1" ht="15" hidden="1" customHeight="1">
      <c r="A96" s="106"/>
      <c r="B96" s="106"/>
      <c r="C96" s="106"/>
      <c r="D96" s="106"/>
      <c r="E96" s="106"/>
      <c r="F96" s="106"/>
      <c r="G96" s="106"/>
      <c r="H96" s="106"/>
      <c r="I96" s="106"/>
      <c r="J96" s="106"/>
      <c r="K96" s="106"/>
      <c r="L96" s="106"/>
      <c r="M96" s="106"/>
      <c r="N96" s="106"/>
      <c r="O96" s="106"/>
      <c r="P96" s="106"/>
      <c r="Q96" s="106"/>
      <c r="R96" s="106"/>
      <c r="S96" s="106"/>
      <c r="T96" s="106"/>
      <c r="U96" s="106"/>
      <c r="V96" s="106"/>
      <c r="W96" s="106"/>
      <c r="X96" s="106"/>
      <c r="Y96" s="106"/>
      <c r="Z96" s="106"/>
      <c r="AA96" s="106"/>
      <c r="AB96" s="106"/>
      <c r="AC96" s="106"/>
      <c r="AD96" s="106"/>
      <c r="AE96" s="106"/>
      <c r="AF96" s="106"/>
      <c r="AG96" s="106"/>
      <c r="AH96" s="106"/>
      <c r="AI96" s="106"/>
      <c r="AJ96" s="106"/>
      <c r="AL96" s="106"/>
      <c r="AM96" s="106"/>
      <c r="AN96" s="106"/>
    </row>
    <row r="97" spans="1:40" s="6" customFormat="1" ht="15" hidden="1" customHeight="1">
      <c r="A97" s="106"/>
      <c r="B97" s="106"/>
      <c r="C97" s="106"/>
      <c r="D97" s="106"/>
      <c r="E97" s="106"/>
      <c r="F97" s="106"/>
      <c r="G97" s="106"/>
      <c r="H97" s="106"/>
      <c r="I97" s="106"/>
      <c r="J97" s="106"/>
      <c r="K97" s="106"/>
      <c r="L97" s="106"/>
      <c r="M97" s="106"/>
      <c r="N97" s="106"/>
      <c r="O97" s="106"/>
      <c r="P97" s="106"/>
      <c r="Q97" s="106"/>
      <c r="R97" s="106"/>
      <c r="S97" s="106"/>
      <c r="T97" s="106"/>
      <c r="U97" s="106"/>
      <c r="V97" s="106"/>
      <c r="W97" s="106"/>
      <c r="X97" s="106"/>
      <c r="Y97" s="106"/>
      <c r="Z97" s="106"/>
      <c r="AA97" s="106"/>
      <c r="AB97" s="106"/>
      <c r="AC97" s="106"/>
      <c r="AD97" s="106"/>
      <c r="AE97" s="106"/>
      <c r="AF97" s="106"/>
      <c r="AG97" s="106"/>
      <c r="AH97" s="106"/>
      <c r="AI97" s="106"/>
      <c r="AJ97" s="106"/>
      <c r="AL97" s="106"/>
      <c r="AM97" s="106"/>
      <c r="AN97" s="106"/>
    </row>
    <row r="98" spans="1:40" s="6" customFormat="1" ht="15" hidden="1" customHeight="1">
      <c r="A98" s="106"/>
      <c r="B98" s="106"/>
      <c r="C98" s="106"/>
      <c r="D98" s="106"/>
      <c r="E98" s="106"/>
      <c r="F98" s="106"/>
      <c r="G98" s="106"/>
      <c r="H98" s="106"/>
      <c r="I98" s="106"/>
      <c r="J98" s="106"/>
      <c r="K98" s="106"/>
      <c r="L98" s="106"/>
      <c r="M98" s="106"/>
      <c r="N98" s="106"/>
      <c r="O98" s="106"/>
      <c r="P98" s="106"/>
      <c r="Q98" s="106"/>
      <c r="R98" s="106"/>
      <c r="S98" s="106"/>
      <c r="T98" s="106"/>
      <c r="U98" s="106"/>
      <c r="V98" s="106"/>
      <c r="W98" s="106"/>
      <c r="X98" s="106"/>
      <c r="Y98" s="106"/>
      <c r="Z98" s="106"/>
      <c r="AA98" s="106"/>
      <c r="AB98" s="106"/>
      <c r="AC98" s="106"/>
      <c r="AD98" s="106"/>
      <c r="AE98" s="106"/>
      <c r="AF98" s="106"/>
      <c r="AG98" s="106"/>
      <c r="AH98" s="106"/>
      <c r="AI98" s="106"/>
      <c r="AJ98" s="106"/>
    </row>
    <row r="99" spans="1:40" s="6" customFormat="1" ht="15" hidden="1" customHeight="1">
      <c r="A99" s="106"/>
      <c r="B99" s="106"/>
      <c r="C99" s="106"/>
      <c r="D99" s="106"/>
      <c r="E99" s="106"/>
      <c r="F99" s="106"/>
      <c r="G99" s="106"/>
      <c r="H99" s="106"/>
      <c r="I99" s="106"/>
      <c r="J99" s="106"/>
      <c r="K99" s="106"/>
      <c r="L99" s="106"/>
      <c r="M99" s="106"/>
      <c r="N99" s="106"/>
      <c r="O99" s="106"/>
      <c r="P99" s="106"/>
      <c r="Q99" s="106"/>
      <c r="R99" s="106"/>
      <c r="S99" s="106"/>
      <c r="T99" s="106"/>
      <c r="U99" s="106"/>
      <c r="V99" s="106"/>
      <c r="W99" s="106"/>
      <c r="X99" s="106"/>
      <c r="Y99" s="106"/>
      <c r="Z99" s="106"/>
      <c r="AA99" s="106"/>
      <c r="AB99" s="106"/>
      <c r="AC99" s="106"/>
      <c r="AD99" s="106"/>
      <c r="AE99" s="106"/>
      <c r="AF99" s="106"/>
      <c r="AG99" s="106"/>
      <c r="AH99" s="106"/>
      <c r="AI99" s="106"/>
      <c r="AJ99" s="106"/>
    </row>
    <row r="100" spans="1:40" s="6" customFormat="1" ht="15" hidden="1" customHeight="1">
      <c r="A100" s="106"/>
      <c r="B100" s="106"/>
      <c r="C100" s="106"/>
      <c r="D100" s="106"/>
      <c r="E100" s="106"/>
      <c r="F100" s="106"/>
      <c r="G100" s="106"/>
      <c r="H100" s="106"/>
      <c r="I100" s="106"/>
      <c r="J100" s="106"/>
      <c r="K100" s="106"/>
      <c r="L100" s="106"/>
      <c r="M100" s="106"/>
      <c r="N100" s="106"/>
      <c r="O100" s="106"/>
      <c r="P100" s="106"/>
      <c r="Q100" s="106"/>
      <c r="R100" s="106"/>
      <c r="S100" s="106"/>
      <c r="T100" s="106"/>
      <c r="U100" s="106"/>
      <c r="V100" s="106"/>
      <c r="W100" s="106"/>
      <c r="X100" s="106"/>
      <c r="Y100" s="106"/>
      <c r="Z100" s="106"/>
      <c r="AA100" s="106"/>
      <c r="AB100" s="106"/>
      <c r="AC100" s="106"/>
      <c r="AD100" s="106"/>
      <c r="AE100" s="106"/>
      <c r="AF100" s="106"/>
      <c r="AG100" s="106"/>
      <c r="AH100" s="106"/>
      <c r="AI100" s="106"/>
      <c r="AJ100" s="106"/>
    </row>
    <row r="101" spans="1:40" s="6" customFormat="1" ht="15" hidden="1" customHeight="1">
      <c r="A101" s="106"/>
      <c r="B101" s="106"/>
      <c r="C101" s="106"/>
      <c r="D101" s="106"/>
      <c r="E101" s="106"/>
      <c r="F101" s="106"/>
      <c r="G101" s="106"/>
      <c r="H101" s="106"/>
      <c r="I101" s="106"/>
      <c r="J101" s="106"/>
      <c r="K101" s="106"/>
      <c r="L101" s="106"/>
      <c r="M101" s="106"/>
      <c r="N101" s="106"/>
      <c r="O101" s="106"/>
      <c r="P101" s="106"/>
      <c r="Q101" s="106"/>
      <c r="R101" s="106"/>
      <c r="S101" s="106"/>
      <c r="T101" s="106"/>
      <c r="U101" s="106"/>
      <c r="V101" s="106"/>
      <c r="W101" s="106"/>
      <c r="X101" s="106"/>
      <c r="Y101" s="106"/>
      <c r="Z101" s="106"/>
      <c r="AA101" s="106"/>
      <c r="AB101" s="106"/>
      <c r="AC101" s="106"/>
      <c r="AD101" s="106"/>
      <c r="AE101" s="106"/>
      <c r="AF101" s="106"/>
      <c r="AG101" s="106"/>
      <c r="AH101" s="106"/>
      <c r="AI101" s="106"/>
      <c r="AJ101" s="106"/>
    </row>
    <row r="102" spans="1:40" s="58" customFormat="1" ht="15" hidden="1" customHeight="1">
      <c r="A102" s="106"/>
      <c r="B102" s="106"/>
      <c r="C102" s="106"/>
      <c r="D102" s="106"/>
      <c r="E102" s="106"/>
      <c r="F102" s="106"/>
      <c r="G102" s="106"/>
      <c r="H102" s="106"/>
      <c r="I102" s="106"/>
      <c r="J102" s="106"/>
      <c r="K102" s="106"/>
      <c r="L102" s="106"/>
      <c r="M102" s="106"/>
      <c r="N102" s="106"/>
      <c r="O102" s="106"/>
      <c r="P102" s="106"/>
      <c r="Q102" s="106"/>
      <c r="R102" s="106"/>
      <c r="S102" s="106"/>
      <c r="T102" s="106"/>
      <c r="U102" s="106"/>
      <c r="V102" s="106"/>
      <c r="W102" s="106"/>
      <c r="X102" s="106"/>
      <c r="Y102" s="106"/>
      <c r="Z102" s="106"/>
      <c r="AA102" s="106"/>
      <c r="AB102" s="106"/>
      <c r="AC102" s="106"/>
      <c r="AD102" s="106"/>
      <c r="AE102" s="106"/>
      <c r="AF102" s="106"/>
      <c r="AG102" s="106"/>
      <c r="AH102" s="106"/>
      <c r="AI102" s="106"/>
      <c r="AJ102" s="106"/>
    </row>
    <row r="103" spans="1:40" s="58" customFormat="1" ht="15" hidden="1" customHeight="1">
      <c r="A103" s="106"/>
      <c r="B103" s="106"/>
      <c r="C103" s="106"/>
      <c r="D103" s="106"/>
      <c r="E103" s="106"/>
      <c r="F103" s="106"/>
      <c r="G103" s="106"/>
      <c r="H103" s="106"/>
      <c r="I103" s="106"/>
      <c r="J103" s="106"/>
      <c r="K103" s="106"/>
      <c r="L103" s="106"/>
      <c r="M103" s="106"/>
      <c r="N103" s="106"/>
      <c r="O103" s="106"/>
      <c r="P103" s="106"/>
      <c r="Q103" s="106"/>
      <c r="R103" s="106"/>
      <c r="S103" s="106"/>
      <c r="T103" s="106"/>
      <c r="U103" s="106"/>
      <c r="V103" s="106"/>
      <c r="W103" s="106"/>
      <c r="X103" s="106"/>
      <c r="Y103" s="106"/>
      <c r="Z103" s="106"/>
      <c r="AA103" s="106"/>
      <c r="AB103" s="106"/>
      <c r="AC103" s="106"/>
      <c r="AD103" s="106"/>
      <c r="AE103" s="106"/>
      <c r="AF103" s="106"/>
      <c r="AG103" s="106"/>
      <c r="AH103" s="106"/>
      <c r="AI103" s="106"/>
      <c r="AJ103" s="106"/>
    </row>
    <row r="104" spans="1:40" s="58" customFormat="1" ht="15" hidden="1" customHeight="1">
      <c r="A104" s="106"/>
      <c r="B104" s="106"/>
      <c r="C104" s="106"/>
      <c r="D104" s="106"/>
      <c r="E104" s="106"/>
      <c r="F104" s="106"/>
      <c r="G104" s="106"/>
      <c r="H104" s="106"/>
      <c r="I104" s="106"/>
      <c r="J104" s="106"/>
      <c r="K104" s="106"/>
      <c r="L104" s="106"/>
      <c r="M104" s="106"/>
      <c r="N104" s="106"/>
      <c r="O104" s="106"/>
      <c r="P104" s="106"/>
      <c r="Q104" s="106"/>
      <c r="R104" s="106"/>
      <c r="S104" s="106"/>
      <c r="T104" s="106"/>
      <c r="U104" s="106"/>
      <c r="V104" s="106"/>
      <c r="W104" s="106"/>
      <c r="X104" s="106"/>
      <c r="Y104" s="106"/>
      <c r="Z104" s="106"/>
      <c r="AA104" s="106"/>
      <c r="AB104" s="106"/>
      <c r="AC104" s="106"/>
      <c r="AD104" s="106"/>
      <c r="AE104" s="106"/>
      <c r="AF104" s="106"/>
      <c r="AG104" s="106"/>
      <c r="AH104" s="106"/>
      <c r="AI104" s="106"/>
      <c r="AJ104" s="106"/>
    </row>
    <row r="105" spans="1:40" s="58" customFormat="1" ht="15" hidden="1" customHeight="1">
      <c r="A105" s="106"/>
      <c r="B105" s="106"/>
      <c r="C105" s="106"/>
      <c r="D105" s="106"/>
      <c r="E105" s="106"/>
      <c r="F105" s="106"/>
      <c r="G105" s="106"/>
      <c r="H105" s="106"/>
      <c r="I105" s="106"/>
      <c r="J105" s="106"/>
      <c r="K105" s="106"/>
      <c r="L105" s="106"/>
      <c r="M105" s="106"/>
      <c r="N105" s="106"/>
      <c r="O105" s="106"/>
      <c r="P105" s="106"/>
      <c r="Q105" s="106"/>
      <c r="R105" s="106"/>
      <c r="S105" s="106"/>
      <c r="T105" s="106"/>
      <c r="U105" s="106"/>
      <c r="V105" s="106"/>
      <c r="W105" s="106"/>
      <c r="X105" s="106"/>
      <c r="Y105" s="106"/>
      <c r="Z105" s="106"/>
      <c r="AA105" s="106"/>
      <c r="AB105" s="106"/>
      <c r="AC105" s="106"/>
      <c r="AD105" s="106"/>
      <c r="AE105" s="106"/>
      <c r="AF105" s="106"/>
      <c r="AG105" s="106"/>
      <c r="AH105" s="106"/>
      <c r="AI105" s="106"/>
      <c r="AJ105" s="106"/>
    </row>
    <row r="106" spans="1:40" s="58" customFormat="1" ht="15" hidden="1" customHeight="1">
      <c r="A106" s="106"/>
      <c r="B106" s="106"/>
      <c r="C106" s="106"/>
      <c r="D106" s="106"/>
      <c r="E106" s="106"/>
      <c r="F106" s="106"/>
      <c r="G106" s="106"/>
      <c r="H106" s="106"/>
      <c r="I106" s="106"/>
      <c r="J106" s="106"/>
      <c r="K106" s="106"/>
      <c r="L106" s="106"/>
      <c r="M106" s="106"/>
      <c r="N106" s="106"/>
      <c r="O106" s="106"/>
      <c r="P106" s="106"/>
      <c r="Q106" s="106"/>
      <c r="R106" s="106"/>
      <c r="S106" s="106"/>
      <c r="T106" s="106"/>
      <c r="U106" s="106"/>
      <c r="V106" s="106"/>
      <c r="W106" s="106"/>
      <c r="X106" s="106"/>
      <c r="Y106" s="106"/>
      <c r="Z106" s="106"/>
      <c r="AA106" s="106"/>
      <c r="AB106" s="106"/>
      <c r="AC106" s="106"/>
      <c r="AD106" s="106"/>
      <c r="AE106" s="106"/>
      <c r="AF106" s="106"/>
      <c r="AG106" s="106"/>
      <c r="AH106" s="106"/>
      <c r="AI106" s="106"/>
      <c r="AJ106" s="106"/>
    </row>
    <row r="107" spans="1:40" s="58" customFormat="1" ht="15" hidden="1" customHeight="1">
      <c r="A107" s="106"/>
      <c r="B107" s="106"/>
      <c r="C107" s="106"/>
      <c r="D107" s="106"/>
      <c r="E107" s="106"/>
      <c r="F107" s="106"/>
      <c r="G107" s="106"/>
      <c r="H107" s="106"/>
      <c r="I107" s="106"/>
      <c r="J107" s="106"/>
      <c r="K107" s="106"/>
      <c r="L107" s="106"/>
      <c r="M107" s="106"/>
      <c r="N107" s="106"/>
      <c r="O107" s="106"/>
      <c r="P107" s="106"/>
      <c r="Q107" s="106"/>
      <c r="R107" s="106"/>
      <c r="S107" s="106"/>
      <c r="T107" s="106"/>
      <c r="U107" s="106"/>
      <c r="V107" s="106"/>
      <c r="W107" s="106"/>
      <c r="X107" s="106"/>
      <c r="Y107" s="106"/>
      <c r="Z107" s="106"/>
      <c r="AA107" s="106"/>
      <c r="AB107" s="106"/>
      <c r="AC107" s="106"/>
      <c r="AD107" s="106"/>
      <c r="AE107" s="106"/>
      <c r="AF107" s="106"/>
      <c r="AG107" s="106"/>
      <c r="AH107" s="106"/>
      <c r="AI107" s="106"/>
      <c r="AJ107" s="106"/>
    </row>
    <row r="108" spans="1:40" s="58" customFormat="1" ht="15" hidden="1" customHeight="1">
      <c r="A108" s="106"/>
      <c r="B108" s="106"/>
      <c r="C108" s="106"/>
      <c r="D108" s="106"/>
      <c r="E108" s="106"/>
      <c r="F108" s="106"/>
      <c r="G108" s="106"/>
      <c r="H108" s="106"/>
      <c r="I108" s="106"/>
      <c r="J108" s="106"/>
      <c r="K108" s="106"/>
      <c r="L108" s="106"/>
      <c r="M108" s="106"/>
      <c r="N108" s="106"/>
      <c r="O108" s="106"/>
      <c r="P108" s="106"/>
      <c r="Q108" s="106"/>
      <c r="R108" s="106"/>
      <c r="S108" s="106"/>
      <c r="T108" s="106"/>
      <c r="U108" s="106"/>
      <c r="V108" s="106"/>
      <c r="W108" s="106"/>
      <c r="X108" s="106"/>
      <c r="Y108" s="106"/>
      <c r="Z108" s="106"/>
      <c r="AA108" s="106"/>
      <c r="AB108" s="106"/>
      <c r="AC108" s="106"/>
      <c r="AD108" s="106"/>
      <c r="AE108" s="106"/>
      <c r="AF108" s="106"/>
      <c r="AG108" s="106"/>
      <c r="AH108" s="106"/>
      <c r="AI108" s="106"/>
      <c r="AJ108" s="106"/>
    </row>
    <row r="109" spans="1:40" s="58" customFormat="1" ht="15" hidden="1" customHeight="1">
      <c r="A109" s="106"/>
      <c r="B109" s="106"/>
      <c r="C109" s="106"/>
      <c r="D109" s="106"/>
      <c r="E109" s="106"/>
      <c r="F109" s="106"/>
      <c r="G109" s="106"/>
      <c r="H109" s="106"/>
      <c r="I109" s="106"/>
      <c r="J109" s="106"/>
      <c r="K109" s="106"/>
      <c r="L109" s="106"/>
      <c r="M109" s="106"/>
      <c r="N109" s="106"/>
      <c r="O109" s="106"/>
      <c r="P109" s="106"/>
      <c r="Q109" s="106"/>
      <c r="R109" s="106"/>
      <c r="S109" s="106"/>
      <c r="T109" s="106"/>
      <c r="U109" s="106"/>
      <c r="V109" s="106"/>
      <c r="W109" s="106"/>
      <c r="X109" s="106"/>
      <c r="Y109" s="106"/>
      <c r="Z109" s="106"/>
      <c r="AA109" s="106"/>
      <c r="AB109" s="106"/>
      <c r="AC109" s="106"/>
      <c r="AD109" s="106"/>
      <c r="AE109" s="106"/>
      <c r="AF109" s="106"/>
      <c r="AG109" s="106"/>
      <c r="AH109" s="106"/>
      <c r="AI109" s="106"/>
      <c r="AJ109" s="106"/>
    </row>
    <row r="110" spans="1:40" s="58" customFormat="1" ht="15" hidden="1" customHeight="1">
      <c r="A110" s="106"/>
      <c r="B110" s="106"/>
      <c r="C110" s="106"/>
      <c r="D110" s="106"/>
      <c r="E110" s="106"/>
      <c r="F110" s="106"/>
      <c r="G110" s="106"/>
      <c r="H110" s="106"/>
      <c r="I110" s="106"/>
      <c r="J110" s="106"/>
      <c r="K110" s="106"/>
      <c r="L110" s="106"/>
      <c r="M110" s="106"/>
      <c r="N110" s="106"/>
      <c r="O110" s="106"/>
      <c r="P110" s="106"/>
      <c r="Q110" s="106"/>
      <c r="R110" s="106"/>
      <c r="S110" s="106"/>
      <c r="T110" s="106"/>
      <c r="U110" s="106"/>
      <c r="V110" s="106"/>
      <c r="W110" s="106"/>
      <c r="X110" s="106"/>
      <c r="Y110" s="106"/>
      <c r="Z110" s="106"/>
      <c r="AA110" s="106"/>
      <c r="AB110" s="106"/>
      <c r="AC110" s="106"/>
      <c r="AD110" s="106"/>
      <c r="AE110" s="106"/>
      <c r="AF110" s="106"/>
      <c r="AG110" s="106"/>
      <c r="AH110" s="106"/>
      <c r="AI110" s="106"/>
      <c r="AJ110" s="106"/>
    </row>
    <row r="111" spans="1:40" s="58" customFormat="1" ht="15" hidden="1" customHeight="1">
      <c r="A111" s="106"/>
      <c r="B111" s="106"/>
      <c r="C111" s="106"/>
      <c r="D111" s="106"/>
      <c r="E111" s="106"/>
      <c r="F111" s="106"/>
      <c r="G111" s="106"/>
      <c r="H111" s="106"/>
      <c r="I111" s="106"/>
      <c r="J111" s="106"/>
      <c r="K111" s="106"/>
      <c r="L111" s="106"/>
      <c r="M111" s="106"/>
      <c r="N111" s="106"/>
      <c r="O111" s="106"/>
      <c r="P111" s="106"/>
      <c r="Q111" s="106"/>
      <c r="R111" s="106"/>
      <c r="S111" s="106"/>
      <c r="T111" s="106"/>
      <c r="U111" s="106"/>
      <c r="V111" s="106"/>
      <c r="W111" s="106"/>
      <c r="X111" s="106"/>
      <c r="Y111" s="106"/>
      <c r="Z111" s="106"/>
      <c r="AA111" s="106"/>
      <c r="AB111" s="106"/>
      <c r="AC111" s="106"/>
      <c r="AD111" s="106"/>
      <c r="AE111" s="106"/>
      <c r="AF111" s="106"/>
      <c r="AG111" s="106"/>
      <c r="AH111" s="106"/>
      <c r="AI111" s="106"/>
      <c r="AJ111" s="106"/>
    </row>
    <row r="112" spans="1:40" s="58" customFormat="1" ht="15" hidden="1" customHeight="1">
      <c r="A112" s="106"/>
      <c r="B112" s="106"/>
      <c r="C112" s="106"/>
      <c r="D112" s="106"/>
      <c r="E112" s="106"/>
      <c r="F112" s="106"/>
      <c r="G112" s="106"/>
      <c r="H112" s="106"/>
      <c r="I112" s="106"/>
      <c r="J112" s="106"/>
      <c r="K112" s="106"/>
      <c r="L112" s="106"/>
      <c r="M112" s="106"/>
      <c r="N112" s="106"/>
      <c r="O112" s="106"/>
      <c r="P112" s="106"/>
      <c r="Q112" s="106"/>
      <c r="R112" s="106"/>
      <c r="S112" s="106"/>
      <c r="T112" s="106"/>
      <c r="U112" s="106"/>
      <c r="V112" s="106"/>
      <c r="W112" s="106"/>
      <c r="X112" s="106"/>
      <c r="Y112" s="106"/>
      <c r="Z112" s="106"/>
      <c r="AA112" s="106"/>
      <c r="AB112" s="106"/>
      <c r="AC112" s="106"/>
      <c r="AD112" s="106"/>
      <c r="AE112" s="106"/>
      <c r="AF112" s="106"/>
      <c r="AG112" s="106"/>
      <c r="AH112" s="106"/>
      <c r="AI112" s="106"/>
      <c r="AJ112" s="106"/>
    </row>
    <row r="113" spans="1:36" s="58" customFormat="1" ht="15" hidden="1" customHeight="1">
      <c r="A113" s="106"/>
      <c r="B113" s="106"/>
      <c r="C113" s="106"/>
      <c r="D113" s="106"/>
      <c r="E113" s="106"/>
      <c r="F113" s="106"/>
      <c r="G113" s="106"/>
      <c r="H113" s="106"/>
      <c r="I113" s="106"/>
      <c r="J113" s="106"/>
      <c r="K113" s="106"/>
      <c r="L113" s="106"/>
      <c r="M113" s="106"/>
      <c r="N113" s="106"/>
      <c r="O113" s="106"/>
      <c r="P113" s="106"/>
      <c r="Q113" s="106"/>
      <c r="R113" s="106"/>
      <c r="S113" s="106"/>
      <c r="T113" s="106"/>
      <c r="U113" s="106"/>
      <c r="V113" s="106"/>
      <c r="W113" s="106"/>
      <c r="X113" s="106"/>
      <c r="Y113" s="106"/>
      <c r="Z113" s="106"/>
      <c r="AA113" s="106"/>
      <c r="AB113" s="106"/>
      <c r="AC113" s="106"/>
      <c r="AD113" s="106"/>
      <c r="AE113" s="106"/>
      <c r="AF113" s="106"/>
      <c r="AG113" s="106"/>
      <c r="AH113" s="106"/>
      <c r="AI113" s="106"/>
      <c r="AJ113" s="106"/>
    </row>
    <row r="114" spans="1:36" s="58" customFormat="1" ht="15" hidden="1" customHeight="1">
      <c r="A114" s="106"/>
      <c r="B114" s="106"/>
      <c r="C114" s="106"/>
      <c r="D114" s="106"/>
      <c r="E114" s="106"/>
      <c r="F114" s="106"/>
      <c r="G114" s="106"/>
      <c r="H114" s="106"/>
      <c r="I114" s="106"/>
      <c r="J114" s="106"/>
      <c r="K114" s="106"/>
      <c r="L114" s="106"/>
      <c r="M114" s="106"/>
      <c r="N114" s="106"/>
      <c r="O114" s="106"/>
      <c r="P114" s="106"/>
      <c r="Q114" s="106"/>
      <c r="R114" s="106"/>
      <c r="S114" s="106"/>
      <c r="T114" s="106"/>
      <c r="U114" s="106"/>
      <c r="V114" s="106"/>
      <c r="W114" s="106"/>
      <c r="X114" s="106"/>
      <c r="Y114" s="106"/>
      <c r="Z114" s="106"/>
      <c r="AA114" s="106"/>
      <c r="AB114" s="106"/>
      <c r="AC114" s="106"/>
      <c r="AD114" s="106"/>
      <c r="AE114" s="106"/>
      <c r="AF114" s="106"/>
      <c r="AG114" s="106"/>
      <c r="AH114" s="106"/>
      <c r="AI114" s="106"/>
      <c r="AJ114" s="106"/>
    </row>
    <row r="115" spans="1:36" s="58" customFormat="1" ht="15" hidden="1" customHeight="1">
      <c r="A115" s="106"/>
      <c r="B115" s="106"/>
      <c r="C115" s="106"/>
      <c r="D115" s="106"/>
      <c r="E115" s="106"/>
      <c r="F115" s="106"/>
      <c r="G115" s="106"/>
      <c r="H115" s="106"/>
      <c r="I115" s="106"/>
      <c r="J115" s="106"/>
      <c r="K115" s="106"/>
      <c r="L115" s="106"/>
      <c r="M115" s="106"/>
      <c r="N115" s="106"/>
      <c r="O115" s="106"/>
      <c r="P115" s="106"/>
      <c r="Q115" s="106"/>
      <c r="R115" s="106"/>
      <c r="S115" s="106"/>
      <c r="T115" s="106"/>
      <c r="U115" s="106"/>
      <c r="V115" s="106"/>
      <c r="W115" s="106"/>
      <c r="X115" s="106"/>
      <c r="Y115" s="106"/>
      <c r="Z115" s="106"/>
      <c r="AA115" s="106"/>
      <c r="AB115" s="106"/>
      <c r="AC115" s="106"/>
      <c r="AD115" s="106"/>
      <c r="AE115" s="106"/>
      <c r="AF115" s="106"/>
      <c r="AG115" s="106"/>
      <c r="AH115" s="106"/>
      <c r="AI115" s="106"/>
      <c r="AJ115" s="106"/>
    </row>
    <row r="116" spans="1:36" s="6" customFormat="1" ht="15" hidden="1" customHeight="1">
      <c r="A116" s="106"/>
      <c r="B116" s="106"/>
      <c r="C116" s="106"/>
      <c r="D116" s="106"/>
      <c r="E116" s="106"/>
      <c r="F116" s="106"/>
      <c r="G116" s="106"/>
      <c r="H116" s="106"/>
      <c r="I116" s="106"/>
      <c r="J116" s="106"/>
      <c r="K116" s="106"/>
      <c r="L116" s="106"/>
      <c r="M116" s="106"/>
      <c r="N116" s="106"/>
      <c r="O116" s="106"/>
      <c r="P116" s="106"/>
      <c r="Q116" s="106"/>
      <c r="R116" s="106"/>
      <c r="S116" s="106"/>
      <c r="T116" s="106"/>
      <c r="U116" s="106"/>
      <c r="V116" s="106"/>
      <c r="W116" s="106"/>
      <c r="X116" s="106"/>
      <c r="Y116" s="106"/>
      <c r="Z116" s="106"/>
      <c r="AA116" s="106"/>
      <c r="AB116" s="106"/>
      <c r="AC116" s="106"/>
      <c r="AD116" s="106"/>
      <c r="AE116" s="106"/>
      <c r="AF116" s="106"/>
      <c r="AG116" s="106"/>
      <c r="AH116" s="106"/>
      <c r="AI116" s="106"/>
      <c r="AJ116" s="106"/>
    </row>
    <row r="117" spans="1:36" s="6" customFormat="1" ht="20.100000000000001" hidden="1" customHeight="1">
      <c r="A117" s="106"/>
      <c r="B117" s="106"/>
      <c r="C117" s="106"/>
      <c r="D117" s="106"/>
      <c r="E117" s="106"/>
      <c r="F117" s="106"/>
      <c r="G117" s="106"/>
      <c r="H117" s="106"/>
      <c r="I117" s="106"/>
      <c r="J117" s="106"/>
      <c r="K117" s="106"/>
      <c r="L117" s="106"/>
      <c r="M117" s="106"/>
      <c r="N117" s="106"/>
      <c r="O117" s="106"/>
      <c r="P117" s="106"/>
      <c r="Q117" s="106"/>
      <c r="R117" s="106"/>
      <c r="S117" s="106"/>
      <c r="T117" s="106"/>
      <c r="U117" s="106"/>
      <c r="V117" s="106"/>
      <c r="W117" s="106"/>
      <c r="X117" s="106"/>
      <c r="Y117" s="106"/>
      <c r="Z117" s="106"/>
      <c r="AA117" s="106"/>
      <c r="AB117" s="106"/>
      <c r="AC117" s="106"/>
      <c r="AD117" s="106"/>
      <c r="AE117" s="106"/>
      <c r="AF117" s="106"/>
      <c r="AG117" s="106"/>
      <c r="AH117" s="106"/>
      <c r="AI117" s="106"/>
      <c r="AJ117" s="106"/>
    </row>
    <row r="118" spans="1:36" s="6" customFormat="1" ht="45" hidden="1" customHeight="1">
      <c r="A118" s="106"/>
      <c r="B118" s="106"/>
      <c r="C118" s="106"/>
      <c r="D118" s="106"/>
      <c r="E118" s="106"/>
      <c r="F118" s="106"/>
      <c r="G118" s="106"/>
      <c r="H118" s="106"/>
      <c r="I118" s="106"/>
      <c r="J118" s="106"/>
      <c r="K118" s="106"/>
      <c r="L118" s="106"/>
      <c r="M118" s="106"/>
      <c r="N118" s="106"/>
      <c r="O118" s="106"/>
      <c r="P118" s="106"/>
      <c r="Q118" s="106"/>
      <c r="R118" s="106"/>
      <c r="S118" s="106"/>
      <c r="T118" s="106"/>
      <c r="U118" s="106"/>
      <c r="V118" s="106"/>
      <c r="W118" s="106"/>
      <c r="X118" s="106"/>
      <c r="Y118" s="106"/>
      <c r="Z118" s="106"/>
      <c r="AA118" s="106"/>
      <c r="AB118" s="106"/>
      <c r="AC118" s="106"/>
      <c r="AD118" s="106"/>
      <c r="AE118" s="106"/>
      <c r="AF118" s="106"/>
      <c r="AG118" s="106"/>
      <c r="AH118" s="106"/>
      <c r="AI118" s="106"/>
      <c r="AJ118" s="106"/>
    </row>
    <row r="119" spans="1:36" s="6" customFormat="1" ht="15" hidden="1" customHeight="1">
      <c r="A119" s="106"/>
      <c r="B119" s="106"/>
      <c r="C119" s="106"/>
      <c r="D119" s="106"/>
      <c r="E119" s="106"/>
      <c r="F119" s="106"/>
      <c r="G119" s="106"/>
      <c r="H119" s="106"/>
      <c r="I119" s="106"/>
      <c r="J119" s="106"/>
      <c r="K119" s="106"/>
      <c r="L119" s="106"/>
      <c r="M119" s="106"/>
      <c r="N119" s="106"/>
      <c r="O119" s="106"/>
      <c r="P119" s="106"/>
      <c r="Q119" s="106"/>
      <c r="R119" s="106"/>
      <c r="S119" s="106"/>
      <c r="T119" s="106"/>
      <c r="U119" s="106"/>
      <c r="V119" s="106"/>
      <c r="W119" s="106"/>
      <c r="X119" s="106"/>
      <c r="Y119" s="106"/>
      <c r="Z119" s="106"/>
      <c r="AA119" s="106"/>
      <c r="AB119" s="106"/>
      <c r="AC119" s="106"/>
      <c r="AD119" s="106"/>
      <c r="AE119" s="106"/>
      <c r="AF119" s="106"/>
      <c r="AG119" s="106"/>
      <c r="AH119" s="106"/>
      <c r="AI119" s="106"/>
      <c r="AJ119" s="106"/>
    </row>
    <row r="120" spans="1:36" s="6" customFormat="1" ht="39.950000000000003" hidden="1" customHeight="1">
      <c r="A120" s="106"/>
      <c r="B120" s="106"/>
      <c r="C120" s="106"/>
      <c r="D120" s="106"/>
      <c r="E120" s="106"/>
      <c r="F120" s="106"/>
      <c r="G120" s="106"/>
      <c r="H120" s="106"/>
      <c r="I120" s="106"/>
      <c r="J120" s="106"/>
      <c r="K120" s="106"/>
      <c r="L120" s="106"/>
      <c r="M120" s="106"/>
      <c r="N120" s="106"/>
      <c r="O120" s="106"/>
      <c r="P120" s="106"/>
      <c r="Q120" s="106"/>
      <c r="R120" s="106"/>
      <c r="S120" s="106"/>
      <c r="T120" s="106"/>
      <c r="U120" s="106"/>
      <c r="V120" s="106"/>
      <c r="W120" s="106"/>
      <c r="X120" s="106"/>
      <c r="Y120" s="106"/>
      <c r="Z120" s="106"/>
      <c r="AA120" s="106"/>
      <c r="AB120" s="106"/>
      <c r="AC120" s="106"/>
      <c r="AD120" s="106"/>
      <c r="AE120" s="106"/>
      <c r="AF120" s="106"/>
      <c r="AG120" s="106"/>
      <c r="AH120" s="106"/>
      <c r="AI120" s="106"/>
      <c r="AJ120" s="106"/>
    </row>
    <row r="121" spans="1:36" s="6" customFormat="1" ht="39.950000000000003" hidden="1" customHeight="1">
      <c r="A121" s="106"/>
      <c r="B121" s="106"/>
      <c r="C121" s="106"/>
      <c r="D121" s="106"/>
      <c r="E121" s="106"/>
      <c r="F121" s="106"/>
      <c r="G121" s="106"/>
      <c r="H121" s="106"/>
      <c r="I121" s="106"/>
      <c r="J121" s="106"/>
      <c r="K121" s="106"/>
      <c r="L121" s="106"/>
      <c r="M121" s="106"/>
      <c r="N121" s="106"/>
      <c r="O121" s="106"/>
      <c r="P121" s="106"/>
      <c r="Q121" s="106"/>
      <c r="R121" s="106"/>
      <c r="S121" s="106"/>
      <c r="T121" s="106"/>
      <c r="U121" s="106"/>
      <c r="V121" s="106"/>
      <c r="W121" s="106"/>
      <c r="X121" s="106"/>
      <c r="Y121" s="106"/>
      <c r="Z121" s="106"/>
      <c r="AA121" s="106"/>
      <c r="AB121" s="106"/>
      <c r="AC121" s="106"/>
      <c r="AD121" s="106"/>
      <c r="AE121" s="106"/>
      <c r="AF121" s="106"/>
      <c r="AG121" s="106"/>
      <c r="AH121" s="106"/>
      <c r="AI121" s="106"/>
      <c r="AJ121" s="106"/>
    </row>
    <row r="122" spans="1:36" s="6" customFormat="1" ht="39.950000000000003" hidden="1" customHeight="1">
      <c r="A122" s="106"/>
      <c r="B122" s="106"/>
      <c r="C122" s="106"/>
      <c r="D122" s="106"/>
      <c r="E122" s="106"/>
      <c r="F122" s="106"/>
      <c r="G122" s="106"/>
      <c r="H122" s="106"/>
      <c r="I122" s="106"/>
      <c r="J122" s="106"/>
      <c r="K122" s="106"/>
      <c r="L122" s="106"/>
      <c r="M122" s="106"/>
      <c r="N122" s="106"/>
      <c r="O122" s="106"/>
      <c r="P122" s="106"/>
      <c r="Q122" s="106"/>
      <c r="R122" s="106"/>
      <c r="S122" s="106"/>
      <c r="T122" s="106"/>
      <c r="U122" s="106"/>
      <c r="V122" s="106"/>
      <c r="W122" s="106"/>
      <c r="X122" s="106"/>
      <c r="Y122" s="106"/>
      <c r="Z122" s="106"/>
      <c r="AA122" s="106"/>
      <c r="AB122" s="106"/>
      <c r="AC122" s="106"/>
      <c r="AD122" s="106"/>
      <c r="AE122" s="106"/>
      <c r="AF122" s="106"/>
      <c r="AG122" s="106"/>
      <c r="AH122" s="106"/>
      <c r="AI122" s="106"/>
      <c r="AJ122" s="106"/>
    </row>
    <row r="123" spans="1:36" s="6" customFormat="1" ht="39.950000000000003" hidden="1" customHeight="1">
      <c r="A123" s="106"/>
      <c r="B123" s="106"/>
      <c r="C123" s="106"/>
      <c r="D123" s="106"/>
      <c r="E123" s="106"/>
      <c r="F123" s="106"/>
      <c r="G123" s="106"/>
      <c r="H123" s="106"/>
      <c r="I123" s="106"/>
      <c r="J123" s="106"/>
      <c r="K123" s="106"/>
      <c r="L123" s="106"/>
      <c r="M123" s="106"/>
      <c r="N123" s="106"/>
      <c r="O123" s="106"/>
      <c r="P123" s="106"/>
      <c r="Q123" s="106"/>
      <c r="R123" s="106"/>
      <c r="S123" s="106"/>
      <c r="T123" s="106"/>
      <c r="U123" s="106"/>
      <c r="V123" s="106"/>
      <c r="W123" s="106"/>
      <c r="X123" s="106"/>
      <c r="Y123" s="106"/>
      <c r="Z123" s="106"/>
      <c r="AA123" s="106"/>
      <c r="AB123" s="106"/>
      <c r="AC123" s="106"/>
      <c r="AD123" s="106"/>
      <c r="AE123" s="106"/>
      <c r="AF123" s="106"/>
      <c r="AG123" s="106"/>
      <c r="AH123" s="106"/>
      <c r="AI123" s="106"/>
      <c r="AJ123" s="106"/>
    </row>
    <row r="124" spans="1:36" s="6" customFormat="1" ht="39.950000000000003" hidden="1" customHeight="1">
      <c r="A124" s="106"/>
      <c r="B124" s="106"/>
      <c r="C124" s="106"/>
      <c r="D124" s="106"/>
      <c r="E124" s="106"/>
      <c r="F124" s="106"/>
      <c r="G124" s="106"/>
      <c r="H124" s="106"/>
      <c r="I124" s="106"/>
      <c r="J124" s="106"/>
      <c r="K124" s="106"/>
      <c r="L124" s="106"/>
      <c r="M124" s="106"/>
      <c r="N124" s="106"/>
      <c r="O124" s="106"/>
      <c r="P124" s="106"/>
      <c r="Q124" s="106"/>
      <c r="R124" s="106"/>
      <c r="S124" s="106"/>
      <c r="T124" s="106"/>
      <c r="U124" s="106"/>
      <c r="V124" s="106"/>
      <c r="W124" s="106"/>
      <c r="X124" s="106"/>
      <c r="Y124" s="106"/>
      <c r="Z124" s="106"/>
      <c r="AA124" s="106"/>
      <c r="AB124" s="106"/>
      <c r="AC124" s="106"/>
      <c r="AD124" s="106"/>
      <c r="AE124" s="106"/>
      <c r="AF124" s="106"/>
      <c r="AG124" s="106"/>
      <c r="AH124" s="106"/>
      <c r="AI124" s="106"/>
      <c r="AJ124" s="106"/>
    </row>
    <row r="125" spans="1:36" s="6" customFormat="1" ht="15" hidden="1" customHeight="1">
      <c r="A125" s="106"/>
      <c r="B125" s="106"/>
      <c r="C125" s="106"/>
      <c r="D125" s="106"/>
      <c r="E125" s="106"/>
      <c r="F125" s="106"/>
      <c r="G125" s="106"/>
      <c r="H125" s="106"/>
      <c r="I125" s="106"/>
      <c r="J125" s="106"/>
      <c r="K125" s="106"/>
      <c r="L125" s="106"/>
      <c r="M125" s="106"/>
      <c r="N125" s="106"/>
      <c r="O125" s="106"/>
      <c r="P125" s="106"/>
      <c r="Q125" s="106"/>
      <c r="R125" s="106"/>
      <c r="S125" s="106"/>
      <c r="T125" s="106"/>
      <c r="U125" s="106"/>
      <c r="V125" s="106"/>
      <c r="W125" s="106"/>
      <c r="X125" s="106"/>
      <c r="Y125" s="106"/>
      <c r="Z125" s="106"/>
      <c r="AA125" s="106"/>
      <c r="AB125" s="106"/>
      <c r="AC125" s="106"/>
      <c r="AD125" s="106"/>
      <c r="AE125" s="106"/>
      <c r="AF125" s="106"/>
      <c r="AG125" s="106"/>
      <c r="AH125" s="106"/>
      <c r="AI125" s="106"/>
      <c r="AJ125" s="106"/>
    </row>
    <row r="126" spans="1:36" s="6" customFormat="1" ht="15" hidden="1" customHeight="1">
      <c r="A126" s="106"/>
      <c r="B126" s="106"/>
      <c r="C126" s="106"/>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06"/>
      <c r="AB126" s="106"/>
      <c r="AC126" s="106"/>
      <c r="AD126" s="106"/>
      <c r="AE126" s="106"/>
      <c r="AF126" s="106"/>
      <c r="AG126" s="106"/>
      <c r="AH126" s="106"/>
      <c r="AI126" s="106"/>
      <c r="AJ126" s="106"/>
    </row>
    <row r="127" spans="1:36" s="6" customFormat="1" ht="15" hidden="1" customHeight="1">
      <c r="A127" s="106"/>
      <c r="B127" s="106"/>
      <c r="C127" s="106"/>
      <c r="D127" s="106"/>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6"/>
      <c r="AA127" s="106"/>
      <c r="AB127" s="106"/>
      <c r="AC127" s="106"/>
      <c r="AD127" s="106"/>
      <c r="AE127" s="106"/>
      <c r="AF127" s="106"/>
      <c r="AG127" s="106"/>
      <c r="AH127" s="106"/>
      <c r="AI127" s="106"/>
      <c r="AJ127" s="106"/>
    </row>
    <row r="128" spans="1:36" s="6" customFormat="1" ht="15" hidden="1" customHeight="1">
      <c r="A128" s="106"/>
      <c r="B128" s="106"/>
      <c r="C128" s="106"/>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6"/>
      <c r="Z128" s="106"/>
      <c r="AA128" s="106"/>
      <c r="AB128" s="106"/>
      <c r="AC128" s="106"/>
      <c r="AD128" s="106"/>
      <c r="AE128" s="106"/>
      <c r="AF128" s="106"/>
      <c r="AG128" s="106"/>
      <c r="AH128" s="106"/>
      <c r="AI128" s="106"/>
      <c r="AJ128" s="106"/>
    </row>
    <row r="129" spans="1:36" s="6" customFormat="1" ht="15" hidden="1" customHeight="1">
      <c r="A129" s="106"/>
      <c r="B129" s="106"/>
      <c r="C129" s="106"/>
      <c r="D129" s="106"/>
      <c r="E129" s="106"/>
      <c r="F129" s="106"/>
      <c r="G129" s="106"/>
      <c r="H129" s="106"/>
      <c r="I129" s="106"/>
      <c r="J129" s="106"/>
      <c r="K129" s="106"/>
      <c r="L129" s="106"/>
      <c r="M129" s="106"/>
      <c r="N129" s="106"/>
      <c r="O129" s="106"/>
      <c r="P129" s="106"/>
      <c r="Q129" s="106"/>
      <c r="R129" s="106"/>
      <c r="S129" s="106"/>
      <c r="T129" s="106"/>
      <c r="U129" s="106"/>
      <c r="V129" s="106"/>
      <c r="W129" s="106"/>
      <c r="X129" s="106"/>
      <c r="Y129" s="106"/>
      <c r="Z129" s="106"/>
      <c r="AA129" s="106"/>
      <c r="AB129" s="106"/>
      <c r="AC129" s="106"/>
      <c r="AD129" s="106"/>
      <c r="AE129" s="106"/>
      <c r="AF129" s="106"/>
      <c r="AG129" s="106"/>
      <c r="AH129" s="106"/>
      <c r="AI129" s="106"/>
      <c r="AJ129" s="106"/>
    </row>
    <row r="130" spans="1:36" s="6" customFormat="1" ht="15" hidden="1" customHeight="1">
      <c r="A130" s="106"/>
      <c r="B130" s="106"/>
      <c r="C130" s="106"/>
      <c r="D130" s="106"/>
      <c r="E130" s="106"/>
      <c r="F130" s="106"/>
      <c r="G130" s="106"/>
      <c r="H130" s="106"/>
      <c r="I130" s="106"/>
      <c r="J130" s="106"/>
      <c r="K130" s="106"/>
      <c r="L130" s="106"/>
      <c r="M130" s="106"/>
      <c r="N130" s="106"/>
      <c r="O130" s="106"/>
      <c r="P130" s="106"/>
      <c r="Q130" s="106"/>
      <c r="R130" s="106"/>
      <c r="S130" s="106"/>
      <c r="T130" s="106"/>
      <c r="U130" s="106"/>
      <c r="V130" s="106"/>
      <c r="W130" s="106"/>
      <c r="X130" s="106"/>
      <c r="Y130" s="106"/>
      <c r="Z130" s="106"/>
      <c r="AA130" s="106"/>
      <c r="AB130" s="106"/>
      <c r="AC130" s="106"/>
      <c r="AD130" s="106"/>
      <c r="AE130" s="106"/>
      <c r="AF130" s="106"/>
      <c r="AG130" s="106"/>
      <c r="AH130" s="106"/>
      <c r="AI130" s="106"/>
      <c r="AJ130" s="106"/>
    </row>
    <row r="131" spans="1:36" s="6" customFormat="1" ht="15" hidden="1" customHeight="1">
      <c r="A131" s="106"/>
      <c r="B131" s="106"/>
      <c r="C131" s="106"/>
      <c r="D131" s="106"/>
      <c r="E131" s="106"/>
      <c r="F131" s="106"/>
      <c r="G131" s="106"/>
      <c r="H131" s="106"/>
      <c r="I131" s="106"/>
      <c r="J131" s="106"/>
      <c r="K131" s="106"/>
      <c r="L131" s="106"/>
      <c r="M131" s="106"/>
      <c r="N131" s="106"/>
      <c r="O131" s="106"/>
      <c r="P131" s="106"/>
      <c r="Q131" s="106"/>
      <c r="R131" s="106"/>
      <c r="S131" s="106"/>
      <c r="T131" s="106"/>
      <c r="U131" s="106"/>
      <c r="V131" s="106"/>
      <c r="W131" s="106"/>
      <c r="X131" s="106"/>
      <c r="Y131" s="106"/>
      <c r="Z131" s="106"/>
      <c r="AA131" s="106"/>
      <c r="AB131" s="106"/>
      <c r="AC131" s="106"/>
      <c r="AD131" s="106"/>
      <c r="AE131" s="106"/>
      <c r="AF131" s="106"/>
      <c r="AG131" s="106"/>
      <c r="AH131" s="106"/>
      <c r="AI131" s="106"/>
      <c r="AJ131" s="106"/>
    </row>
    <row r="132" spans="1:36" s="6" customFormat="1" ht="15" hidden="1" customHeight="1">
      <c r="A132" s="106"/>
      <c r="B132" s="106"/>
      <c r="C132" s="106"/>
      <c r="D132" s="106"/>
      <c r="E132" s="106"/>
      <c r="F132" s="106"/>
      <c r="G132" s="106"/>
      <c r="H132" s="106"/>
      <c r="I132" s="106"/>
      <c r="J132" s="106"/>
      <c r="K132" s="106"/>
      <c r="L132" s="106"/>
      <c r="M132" s="106"/>
      <c r="N132" s="106"/>
      <c r="O132" s="106"/>
      <c r="P132" s="106"/>
      <c r="Q132" s="106"/>
      <c r="R132" s="106"/>
      <c r="S132" s="106"/>
      <c r="T132" s="106"/>
      <c r="U132" s="106"/>
      <c r="V132" s="106"/>
      <c r="W132" s="106"/>
      <c r="X132" s="106"/>
      <c r="Y132" s="106"/>
      <c r="Z132" s="106"/>
      <c r="AA132" s="106"/>
      <c r="AB132" s="106"/>
      <c r="AC132" s="106"/>
      <c r="AD132" s="106"/>
      <c r="AE132" s="106"/>
      <c r="AF132" s="106"/>
      <c r="AG132" s="106"/>
      <c r="AH132" s="106"/>
      <c r="AI132" s="106"/>
      <c r="AJ132" s="106"/>
    </row>
    <row r="133" spans="1:36" s="6" customFormat="1" ht="15" hidden="1" customHeight="1">
      <c r="A133" s="106"/>
      <c r="B133" s="106"/>
      <c r="C133" s="106"/>
      <c r="D133" s="106"/>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c r="AD133" s="106"/>
      <c r="AE133" s="106"/>
      <c r="AF133" s="106"/>
      <c r="AG133" s="106"/>
      <c r="AH133" s="106"/>
      <c r="AI133" s="106"/>
      <c r="AJ133" s="106"/>
    </row>
    <row r="139" spans="1:36" s="6" customFormat="1" ht="20.100000000000001" hidden="1" customHeight="1">
      <c r="A139" s="106"/>
      <c r="B139" s="106"/>
      <c r="C139" s="106"/>
      <c r="D139" s="106"/>
      <c r="E139" s="106"/>
      <c r="F139" s="106"/>
      <c r="G139" s="106"/>
      <c r="H139" s="106"/>
      <c r="I139" s="106"/>
      <c r="J139" s="106"/>
      <c r="K139" s="106"/>
      <c r="L139" s="106"/>
      <c r="M139" s="106"/>
      <c r="N139" s="106"/>
      <c r="O139" s="106"/>
      <c r="P139" s="106"/>
      <c r="Q139" s="106"/>
      <c r="R139" s="106"/>
      <c r="S139" s="106"/>
      <c r="T139" s="106"/>
      <c r="U139" s="106"/>
      <c r="V139" s="106"/>
      <c r="W139" s="106"/>
      <c r="X139" s="106"/>
      <c r="Y139" s="106"/>
      <c r="Z139" s="106"/>
      <c r="AA139" s="106"/>
      <c r="AB139" s="106"/>
      <c r="AC139" s="106"/>
      <c r="AD139" s="106"/>
      <c r="AE139" s="106"/>
      <c r="AF139" s="106"/>
      <c r="AG139" s="106"/>
      <c r="AH139" s="106"/>
      <c r="AI139" s="106"/>
      <c r="AJ139" s="106"/>
    </row>
    <row r="140" spans="1:36" s="6" customFormat="1" ht="20.100000000000001" hidden="1" customHeight="1">
      <c r="A140" s="106"/>
      <c r="B140" s="106"/>
      <c r="C140" s="106"/>
      <c r="D140" s="106"/>
      <c r="E140" s="106"/>
      <c r="F140" s="106"/>
      <c r="G140" s="106"/>
      <c r="H140" s="106"/>
      <c r="I140" s="106"/>
      <c r="J140" s="106"/>
      <c r="K140" s="106"/>
      <c r="L140" s="106"/>
      <c r="M140" s="106"/>
      <c r="N140" s="106"/>
      <c r="O140" s="106"/>
      <c r="P140" s="106"/>
      <c r="Q140" s="106"/>
      <c r="R140" s="106"/>
      <c r="S140" s="106"/>
      <c r="T140" s="106"/>
      <c r="U140" s="106"/>
      <c r="V140" s="106"/>
      <c r="W140" s="106"/>
      <c r="X140" s="106"/>
      <c r="Y140" s="106"/>
      <c r="Z140" s="106"/>
      <c r="AA140" s="106"/>
      <c r="AB140" s="106"/>
      <c r="AC140" s="106"/>
      <c r="AD140" s="106"/>
      <c r="AE140" s="106"/>
      <c r="AF140" s="106"/>
      <c r="AG140" s="106"/>
      <c r="AH140" s="106"/>
      <c r="AI140" s="106"/>
      <c r="AJ140" s="106"/>
    </row>
    <row r="141" spans="1:36" s="6" customFormat="1" ht="20.100000000000001" hidden="1" customHeight="1">
      <c r="A141" s="106"/>
      <c r="B141" s="106"/>
      <c r="C141" s="106"/>
      <c r="D141" s="106"/>
      <c r="E141" s="106"/>
      <c r="F141" s="106"/>
      <c r="G141" s="106"/>
      <c r="H141" s="106"/>
      <c r="I141" s="106"/>
      <c r="J141" s="106"/>
      <c r="K141" s="106"/>
      <c r="L141" s="106"/>
      <c r="M141" s="106"/>
      <c r="N141" s="106"/>
      <c r="O141" s="106"/>
      <c r="P141" s="106"/>
      <c r="Q141" s="106"/>
      <c r="R141" s="106"/>
      <c r="S141" s="106"/>
      <c r="T141" s="106"/>
      <c r="U141" s="106"/>
      <c r="V141" s="106"/>
      <c r="W141" s="106"/>
      <c r="X141" s="106"/>
      <c r="Y141" s="106"/>
      <c r="Z141" s="106"/>
      <c r="AA141" s="106"/>
      <c r="AB141" s="106"/>
      <c r="AC141" s="106"/>
      <c r="AD141" s="106"/>
      <c r="AE141" s="106"/>
      <c r="AF141" s="106"/>
      <c r="AG141" s="106"/>
      <c r="AH141" s="106"/>
      <c r="AI141" s="106"/>
      <c r="AJ141" s="106"/>
    </row>
    <row r="142" spans="1:36" s="6" customFormat="1" ht="20.100000000000001" hidden="1" customHeight="1">
      <c r="A142" s="106"/>
      <c r="B142" s="106"/>
      <c r="C142" s="106"/>
      <c r="D142" s="106"/>
      <c r="E142" s="106"/>
      <c r="F142" s="106"/>
      <c r="G142" s="106"/>
      <c r="H142" s="106"/>
      <c r="I142" s="106"/>
      <c r="J142" s="106"/>
      <c r="K142" s="106"/>
      <c r="L142" s="106"/>
      <c r="M142" s="106"/>
      <c r="N142" s="106"/>
      <c r="O142" s="106"/>
      <c r="P142" s="106"/>
      <c r="Q142" s="106"/>
      <c r="R142" s="106"/>
      <c r="S142" s="106"/>
      <c r="T142" s="106"/>
      <c r="U142" s="106"/>
      <c r="V142" s="106"/>
      <c r="W142" s="106"/>
      <c r="X142" s="106"/>
      <c r="Y142" s="106"/>
      <c r="Z142" s="106"/>
      <c r="AA142" s="106"/>
      <c r="AB142" s="106"/>
      <c r="AC142" s="106"/>
      <c r="AD142" s="106"/>
      <c r="AE142" s="106"/>
      <c r="AF142" s="106"/>
      <c r="AG142" s="106"/>
      <c r="AH142" s="106"/>
      <c r="AI142" s="106"/>
      <c r="AJ142" s="106"/>
    </row>
    <row r="143" spans="1:36" s="6" customFormat="1" ht="20.100000000000001" hidden="1" customHeight="1">
      <c r="A143" s="106"/>
      <c r="B143" s="106"/>
      <c r="C143" s="106"/>
      <c r="D143" s="106"/>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c r="AB143" s="106"/>
      <c r="AC143" s="106"/>
      <c r="AD143" s="106"/>
      <c r="AE143" s="106"/>
      <c r="AF143" s="106"/>
      <c r="AG143" s="106"/>
      <c r="AH143" s="106"/>
      <c r="AI143" s="106"/>
      <c r="AJ143" s="106"/>
    </row>
    <row r="144" spans="1:36" s="6" customFormat="1" ht="15" hidden="1" customHeight="1">
      <c r="A144" s="106"/>
      <c r="B144" s="106"/>
      <c r="C144" s="106"/>
      <c r="D144" s="106"/>
      <c r="E144" s="106"/>
      <c r="F144" s="106"/>
      <c r="G144" s="106"/>
      <c r="H144" s="106"/>
      <c r="I144" s="106"/>
      <c r="J144" s="106"/>
      <c r="K144" s="106"/>
      <c r="L144" s="106"/>
      <c r="M144" s="106"/>
      <c r="N144" s="106"/>
      <c r="O144" s="106"/>
      <c r="P144" s="106"/>
      <c r="Q144" s="106"/>
      <c r="R144" s="106"/>
      <c r="S144" s="106"/>
      <c r="T144" s="106"/>
      <c r="U144" s="106"/>
      <c r="V144" s="106"/>
      <c r="W144" s="106"/>
      <c r="X144" s="106"/>
      <c r="Y144" s="106"/>
      <c r="Z144" s="106"/>
      <c r="AA144" s="106"/>
      <c r="AB144" s="106"/>
      <c r="AC144" s="106"/>
      <c r="AD144" s="106"/>
      <c r="AE144" s="106"/>
      <c r="AF144" s="106"/>
      <c r="AG144" s="106"/>
      <c r="AH144" s="106"/>
      <c r="AI144" s="106"/>
      <c r="AJ144" s="106"/>
    </row>
    <row r="145" spans="1:36" s="6" customFormat="1" ht="20.100000000000001" hidden="1" customHeight="1">
      <c r="A145" s="106"/>
      <c r="B145" s="106"/>
      <c r="C145" s="106"/>
      <c r="D145" s="106"/>
      <c r="E145" s="106"/>
      <c r="F145" s="106"/>
      <c r="G145" s="106"/>
      <c r="H145" s="106"/>
      <c r="I145" s="106"/>
      <c r="J145" s="106"/>
      <c r="K145" s="106"/>
      <c r="L145" s="106"/>
      <c r="M145" s="106"/>
      <c r="N145" s="106"/>
      <c r="O145" s="106"/>
      <c r="P145" s="106"/>
      <c r="Q145" s="106"/>
      <c r="R145" s="106"/>
      <c r="S145" s="106"/>
      <c r="T145" s="106"/>
      <c r="U145" s="106"/>
      <c r="V145" s="106"/>
      <c r="W145" s="106"/>
      <c r="X145" s="106"/>
      <c r="Y145" s="106"/>
      <c r="Z145" s="106"/>
      <c r="AA145" s="106"/>
      <c r="AB145" s="106"/>
      <c r="AC145" s="106"/>
      <c r="AD145" s="106"/>
      <c r="AE145" s="106"/>
      <c r="AF145" s="106"/>
      <c r="AG145" s="106"/>
      <c r="AH145" s="106"/>
      <c r="AI145" s="106"/>
      <c r="AJ145" s="106"/>
    </row>
    <row r="146" spans="1:36" s="6" customFormat="1" ht="20.100000000000001" hidden="1" customHeight="1">
      <c r="A146" s="106"/>
      <c r="B146" s="106"/>
      <c r="C146" s="106"/>
      <c r="D146" s="106"/>
      <c r="E146" s="106"/>
      <c r="F146" s="106"/>
      <c r="G146" s="106"/>
      <c r="H146" s="106"/>
      <c r="I146" s="106"/>
      <c r="J146" s="106"/>
      <c r="K146" s="106"/>
      <c r="L146" s="106"/>
      <c r="M146" s="106"/>
      <c r="N146" s="106"/>
      <c r="O146" s="106"/>
      <c r="P146" s="106"/>
      <c r="Q146" s="106"/>
      <c r="R146" s="106"/>
      <c r="S146" s="106"/>
      <c r="T146" s="106"/>
      <c r="U146" s="106"/>
      <c r="V146" s="106"/>
      <c r="W146" s="106"/>
      <c r="X146" s="106"/>
      <c r="Y146" s="106"/>
      <c r="Z146" s="106"/>
      <c r="AA146" s="106"/>
      <c r="AB146" s="106"/>
      <c r="AC146" s="106"/>
      <c r="AD146" s="106"/>
      <c r="AE146" s="106"/>
      <c r="AF146" s="106"/>
      <c r="AG146" s="106"/>
      <c r="AH146" s="106"/>
      <c r="AI146" s="106"/>
      <c r="AJ146" s="106"/>
    </row>
    <row r="147" spans="1:36" s="6" customFormat="1" ht="15" hidden="1" customHeight="1">
      <c r="A147" s="106"/>
      <c r="B147" s="106"/>
      <c r="C147" s="106"/>
      <c r="D147" s="106"/>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c r="AA147" s="106"/>
      <c r="AB147" s="106"/>
      <c r="AC147" s="106"/>
      <c r="AD147" s="106"/>
      <c r="AE147" s="106"/>
      <c r="AF147" s="106"/>
      <c r="AG147" s="106"/>
      <c r="AH147" s="106"/>
      <c r="AI147" s="106"/>
      <c r="AJ147" s="106"/>
    </row>
    <row r="148" spans="1:36" s="6" customFormat="1" ht="20.100000000000001" hidden="1" customHeight="1">
      <c r="A148" s="106"/>
      <c r="B148" s="106"/>
      <c r="C148" s="106"/>
      <c r="D148" s="106"/>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c r="AA148" s="106"/>
      <c r="AB148" s="106"/>
      <c r="AC148" s="106"/>
      <c r="AD148" s="106"/>
      <c r="AE148" s="106"/>
      <c r="AF148" s="106"/>
      <c r="AG148" s="106"/>
      <c r="AH148" s="106"/>
      <c r="AI148" s="106"/>
      <c r="AJ148" s="106"/>
    </row>
    <row r="149" spans="1:36" s="6" customFormat="1" ht="20.100000000000001" hidden="1" customHeight="1">
      <c r="A149" s="106"/>
      <c r="B149" s="106"/>
      <c r="C149" s="106"/>
      <c r="D149" s="106"/>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6"/>
      <c r="AI149" s="106"/>
      <c r="AJ149" s="106"/>
    </row>
    <row r="150" spans="1:36" s="6" customFormat="1" ht="15" hidden="1" customHeight="1">
      <c r="A150" s="106"/>
      <c r="B150" s="106"/>
      <c r="C150" s="106"/>
      <c r="D150" s="106"/>
      <c r="E150" s="106"/>
      <c r="F150" s="106"/>
      <c r="G150" s="106"/>
      <c r="H150" s="106"/>
      <c r="I150" s="106"/>
      <c r="J150" s="106"/>
      <c r="K150" s="106"/>
      <c r="L150" s="106"/>
      <c r="M150" s="106"/>
      <c r="N150" s="106"/>
      <c r="O150" s="106"/>
      <c r="P150" s="106"/>
      <c r="Q150" s="106"/>
      <c r="R150" s="106"/>
      <c r="S150" s="106"/>
      <c r="T150" s="106"/>
      <c r="U150" s="106"/>
      <c r="V150" s="106"/>
      <c r="W150" s="106"/>
      <c r="X150" s="106"/>
      <c r="Y150" s="106"/>
      <c r="Z150" s="106"/>
      <c r="AA150" s="106"/>
      <c r="AB150" s="106"/>
      <c r="AC150" s="106"/>
      <c r="AD150" s="106"/>
      <c r="AE150" s="106"/>
      <c r="AF150" s="106"/>
      <c r="AG150" s="106"/>
      <c r="AH150" s="106"/>
      <c r="AI150" s="106"/>
      <c r="AJ150" s="106"/>
    </row>
    <row r="151" spans="1:36" s="6" customFormat="1" ht="15" hidden="1" customHeight="1">
      <c r="A151" s="106"/>
      <c r="B151" s="106"/>
      <c r="C151" s="106"/>
      <c r="D151" s="106"/>
      <c r="E151" s="106"/>
      <c r="F151" s="106"/>
      <c r="G151" s="106"/>
      <c r="H151" s="106"/>
      <c r="I151" s="106"/>
      <c r="J151" s="106"/>
      <c r="K151" s="106"/>
      <c r="L151" s="106"/>
      <c r="M151" s="106"/>
      <c r="N151" s="106"/>
      <c r="O151" s="106"/>
      <c r="P151" s="106"/>
      <c r="Q151" s="106"/>
      <c r="R151" s="106"/>
      <c r="S151" s="106"/>
      <c r="T151" s="106"/>
      <c r="U151" s="106"/>
      <c r="V151" s="106"/>
      <c r="W151" s="106"/>
      <c r="X151" s="106"/>
      <c r="Y151" s="106"/>
      <c r="Z151" s="106"/>
      <c r="AA151" s="106"/>
      <c r="AB151" s="106"/>
      <c r="AC151" s="106"/>
      <c r="AD151" s="106"/>
      <c r="AE151" s="106"/>
      <c r="AF151" s="106"/>
      <c r="AG151" s="106"/>
      <c r="AH151" s="106"/>
      <c r="AI151" s="106"/>
      <c r="AJ151" s="106"/>
    </row>
    <row r="152" spans="1:36" s="6" customFormat="1" ht="20.100000000000001" hidden="1" customHeight="1">
      <c r="A152" s="106"/>
      <c r="B152" s="106"/>
      <c r="C152" s="106"/>
      <c r="D152" s="106"/>
      <c r="E152" s="106"/>
      <c r="F152" s="106"/>
      <c r="G152" s="106"/>
      <c r="H152" s="106"/>
      <c r="I152" s="106"/>
      <c r="J152" s="106"/>
      <c r="K152" s="106"/>
      <c r="L152" s="106"/>
      <c r="M152" s="106"/>
      <c r="N152" s="106"/>
      <c r="O152" s="106"/>
      <c r="P152" s="106"/>
      <c r="Q152" s="106"/>
      <c r="R152" s="106"/>
      <c r="S152" s="106"/>
      <c r="T152" s="106"/>
      <c r="U152" s="106"/>
      <c r="V152" s="106"/>
      <c r="W152" s="106"/>
      <c r="X152" s="106"/>
      <c r="Y152" s="106"/>
      <c r="Z152" s="106"/>
      <c r="AA152" s="106"/>
      <c r="AB152" s="106"/>
      <c r="AC152" s="106"/>
      <c r="AD152" s="106"/>
      <c r="AE152" s="106"/>
      <c r="AF152" s="106"/>
      <c r="AG152" s="106"/>
      <c r="AH152" s="106"/>
      <c r="AI152" s="106"/>
      <c r="AJ152" s="106"/>
    </row>
    <row r="153" spans="1:36" s="6" customFormat="1" ht="15" hidden="1" customHeight="1">
      <c r="A153" s="106"/>
      <c r="B153" s="106"/>
      <c r="C153" s="106"/>
      <c r="D153" s="106"/>
      <c r="E153" s="106"/>
      <c r="F153" s="106"/>
      <c r="G153" s="106"/>
      <c r="H153" s="106"/>
      <c r="I153" s="106"/>
      <c r="J153" s="106"/>
      <c r="K153" s="106"/>
      <c r="L153" s="106"/>
      <c r="M153" s="106"/>
      <c r="N153" s="106"/>
      <c r="O153" s="106"/>
      <c r="P153" s="106"/>
      <c r="Q153" s="106"/>
      <c r="R153" s="106"/>
      <c r="S153" s="106"/>
      <c r="T153" s="106"/>
      <c r="U153" s="106"/>
      <c r="V153" s="106"/>
      <c r="W153" s="106"/>
      <c r="X153" s="106"/>
      <c r="Y153" s="106"/>
      <c r="Z153" s="106"/>
      <c r="AA153" s="106"/>
      <c r="AB153" s="106"/>
      <c r="AC153" s="106"/>
      <c r="AD153" s="106"/>
      <c r="AE153" s="106"/>
      <c r="AF153" s="106"/>
      <c r="AG153" s="106"/>
      <c r="AH153" s="106"/>
      <c r="AI153" s="106"/>
      <c r="AJ153" s="106"/>
    </row>
    <row r="154" spans="1:36" s="6" customFormat="1" ht="15" hidden="1" customHeight="1">
      <c r="A154" s="106"/>
      <c r="B154" s="106"/>
      <c r="C154" s="106"/>
      <c r="D154" s="106"/>
      <c r="E154" s="106"/>
      <c r="F154" s="106"/>
      <c r="G154" s="106"/>
      <c r="H154" s="106"/>
      <c r="I154" s="106"/>
      <c r="J154" s="106"/>
      <c r="K154" s="106"/>
      <c r="L154" s="106"/>
      <c r="M154" s="106"/>
      <c r="N154" s="106"/>
      <c r="O154" s="106"/>
      <c r="P154" s="106"/>
      <c r="Q154" s="106"/>
      <c r="R154" s="106"/>
      <c r="S154" s="106"/>
      <c r="T154" s="106"/>
      <c r="U154" s="106"/>
      <c r="V154" s="106"/>
      <c r="W154" s="106"/>
      <c r="X154" s="106"/>
      <c r="Y154" s="106"/>
      <c r="Z154" s="106"/>
      <c r="AA154" s="106"/>
      <c r="AB154" s="106"/>
      <c r="AC154" s="106"/>
      <c r="AD154" s="106"/>
      <c r="AE154" s="106"/>
      <c r="AF154" s="106"/>
      <c r="AG154" s="106"/>
      <c r="AH154" s="106"/>
      <c r="AI154" s="106"/>
      <c r="AJ154" s="106"/>
    </row>
    <row r="155" spans="1:36" s="6" customFormat="1" ht="15" hidden="1" customHeight="1">
      <c r="A155" s="106"/>
      <c r="B155" s="106"/>
      <c r="C155" s="106"/>
      <c r="D155" s="106"/>
      <c r="E155" s="106"/>
      <c r="F155" s="106"/>
      <c r="G155" s="106"/>
      <c r="H155" s="106"/>
      <c r="I155" s="106"/>
      <c r="J155" s="106"/>
      <c r="K155" s="106"/>
      <c r="L155" s="106"/>
      <c r="M155" s="106"/>
      <c r="N155" s="106"/>
      <c r="O155" s="106"/>
      <c r="P155" s="106"/>
      <c r="Q155" s="106"/>
      <c r="R155" s="106"/>
      <c r="S155" s="106"/>
      <c r="T155" s="106"/>
      <c r="U155" s="106"/>
      <c r="V155" s="106"/>
      <c r="W155" s="106"/>
      <c r="X155" s="106"/>
      <c r="Y155" s="106"/>
      <c r="Z155" s="106"/>
      <c r="AA155" s="106"/>
      <c r="AB155" s="106"/>
      <c r="AC155" s="106"/>
      <c r="AD155" s="106"/>
      <c r="AE155" s="106"/>
      <c r="AF155" s="106"/>
      <c r="AG155" s="106"/>
      <c r="AH155" s="106"/>
      <c r="AI155" s="106"/>
      <c r="AJ155" s="106"/>
    </row>
    <row r="156" spans="1:36" s="6" customFormat="1" ht="15" hidden="1" customHeight="1">
      <c r="A156" s="106"/>
      <c r="B156" s="106"/>
      <c r="C156" s="106"/>
      <c r="D156" s="106"/>
      <c r="E156" s="106"/>
      <c r="F156" s="106"/>
      <c r="G156" s="106"/>
      <c r="H156" s="106"/>
      <c r="I156" s="106"/>
      <c r="J156" s="106"/>
      <c r="K156" s="106"/>
      <c r="L156" s="106"/>
      <c r="M156" s="106"/>
      <c r="N156" s="106"/>
      <c r="O156" s="106"/>
      <c r="P156" s="106"/>
      <c r="Q156" s="106"/>
      <c r="R156" s="106"/>
      <c r="S156" s="106"/>
      <c r="T156" s="106"/>
      <c r="U156" s="106"/>
      <c r="V156" s="106"/>
      <c r="W156" s="106"/>
      <c r="X156" s="106"/>
      <c r="Y156" s="106"/>
      <c r="Z156" s="106"/>
      <c r="AA156" s="106"/>
      <c r="AB156" s="106"/>
      <c r="AC156" s="106"/>
      <c r="AD156" s="106"/>
      <c r="AE156" s="106"/>
      <c r="AF156" s="106"/>
      <c r="AG156" s="106"/>
      <c r="AH156" s="106"/>
      <c r="AI156" s="106"/>
      <c r="AJ156" s="106"/>
    </row>
    <row r="157" spans="1:36" s="6" customFormat="1" ht="15" hidden="1" customHeight="1">
      <c r="A157" s="106"/>
      <c r="B157" s="106"/>
      <c r="C157" s="106"/>
      <c r="D157" s="106"/>
      <c r="E157" s="106"/>
      <c r="F157" s="106"/>
      <c r="G157" s="106"/>
      <c r="H157" s="106"/>
      <c r="I157" s="106"/>
      <c r="J157" s="106"/>
      <c r="K157" s="106"/>
      <c r="L157" s="106"/>
      <c r="M157" s="106"/>
      <c r="N157" s="106"/>
      <c r="O157" s="106"/>
      <c r="P157" s="106"/>
      <c r="Q157" s="106"/>
      <c r="R157" s="106"/>
      <c r="S157" s="106"/>
      <c r="T157" s="106"/>
      <c r="U157" s="106"/>
      <c r="V157" s="106"/>
      <c r="W157" s="106"/>
      <c r="X157" s="106"/>
      <c r="Y157" s="106"/>
      <c r="Z157" s="106"/>
      <c r="AA157" s="106"/>
      <c r="AB157" s="106"/>
      <c r="AC157" s="106"/>
      <c r="AD157" s="106"/>
      <c r="AE157" s="106"/>
      <c r="AF157" s="106"/>
      <c r="AG157" s="106"/>
      <c r="AH157" s="106"/>
      <c r="AI157" s="106"/>
      <c r="AJ157" s="106"/>
    </row>
    <row r="158" spans="1:36" s="6" customFormat="1" ht="15" hidden="1" customHeight="1">
      <c r="A158" s="106"/>
      <c r="B158" s="106"/>
      <c r="C158" s="106"/>
      <c r="D158" s="106"/>
      <c r="E158" s="106"/>
      <c r="F158" s="106"/>
      <c r="G158" s="106"/>
      <c r="H158" s="106"/>
      <c r="I158" s="106"/>
      <c r="J158" s="106"/>
      <c r="K158" s="106"/>
      <c r="L158" s="106"/>
      <c r="M158" s="106"/>
      <c r="N158" s="106"/>
      <c r="O158" s="106"/>
      <c r="P158" s="106"/>
      <c r="Q158" s="106"/>
      <c r="R158" s="106"/>
      <c r="S158" s="106"/>
      <c r="T158" s="106"/>
      <c r="U158" s="106"/>
      <c r="V158" s="106"/>
      <c r="W158" s="106"/>
      <c r="X158" s="106"/>
      <c r="Y158" s="106"/>
      <c r="Z158" s="106"/>
      <c r="AA158" s="106"/>
      <c r="AB158" s="106"/>
      <c r="AC158" s="106"/>
      <c r="AD158" s="106"/>
      <c r="AE158" s="106"/>
      <c r="AF158" s="106"/>
      <c r="AG158" s="106"/>
      <c r="AH158" s="106"/>
      <c r="AI158" s="106"/>
      <c r="AJ158" s="106"/>
    </row>
    <row r="159" spans="1:36" s="6" customFormat="1" ht="15" hidden="1" customHeight="1">
      <c r="A159" s="106"/>
      <c r="B159" s="106"/>
      <c r="C159" s="106"/>
      <c r="D159" s="106"/>
      <c r="E159" s="106"/>
      <c r="F159" s="106"/>
      <c r="G159" s="106"/>
      <c r="H159" s="106"/>
      <c r="I159" s="106"/>
      <c r="J159" s="106"/>
      <c r="K159" s="106"/>
      <c r="L159" s="106"/>
      <c r="M159" s="106"/>
      <c r="N159" s="106"/>
      <c r="O159" s="106"/>
      <c r="P159" s="106"/>
      <c r="Q159" s="106"/>
      <c r="R159" s="106"/>
      <c r="S159" s="106"/>
      <c r="T159" s="106"/>
      <c r="U159" s="106"/>
      <c r="V159" s="106"/>
      <c r="W159" s="106"/>
      <c r="X159" s="106"/>
      <c r="Y159" s="106"/>
      <c r="Z159" s="106"/>
      <c r="AA159" s="106"/>
      <c r="AB159" s="106"/>
      <c r="AC159" s="106"/>
      <c r="AD159" s="106"/>
      <c r="AE159" s="106"/>
      <c r="AF159" s="106"/>
      <c r="AG159" s="106"/>
      <c r="AH159" s="106"/>
      <c r="AI159" s="106"/>
      <c r="AJ159" s="106"/>
    </row>
    <row r="160" spans="1:36" s="6" customFormat="1" ht="15" hidden="1" customHeight="1">
      <c r="A160" s="106"/>
      <c r="B160" s="106"/>
      <c r="C160" s="106"/>
      <c r="D160" s="106"/>
      <c r="E160" s="106"/>
      <c r="F160" s="106"/>
      <c r="G160" s="106"/>
      <c r="H160" s="106"/>
      <c r="I160" s="106"/>
      <c r="J160" s="106"/>
      <c r="K160" s="106"/>
      <c r="L160" s="106"/>
      <c r="M160" s="106"/>
      <c r="N160" s="106"/>
      <c r="O160" s="106"/>
      <c r="P160" s="106"/>
      <c r="Q160" s="106"/>
      <c r="R160" s="106"/>
      <c r="S160" s="106"/>
      <c r="T160" s="106"/>
      <c r="U160" s="106"/>
      <c r="V160" s="106"/>
      <c r="W160" s="106"/>
      <c r="X160" s="106"/>
      <c r="Y160" s="106"/>
      <c r="Z160" s="106"/>
      <c r="AA160" s="106"/>
      <c r="AB160" s="106"/>
      <c r="AC160" s="106"/>
      <c r="AD160" s="106"/>
      <c r="AE160" s="106"/>
      <c r="AF160" s="106"/>
      <c r="AG160" s="106"/>
      <c r="AH160" s="106"/>
      <c r="AI160" s="106"/>
      <c r="AJ160" s="106"/>
    </row>
    <row r="161" spans="1:36" s="6" customFormat="1" ht="15" hidden="1" customHeight="1">
      <c r="A161" s="106"/>
      <c r="B161" s="106"/>
      <c r="C161" s="106"/>
      <c r="D161" s="106"/>
      <c r="E161" s="106"/>
      <c r="F161" s="106"/>
      <c r="G161" s="106"/>
      <c r="H161" s="106"/>
      <c r="I161" s="106"/>
      <c r="J161" s="106"/>
      <c r="K161" s="106"/>
      <c r="L161" s="106"/>
      <c r="M161" s="106"/>
      <c r="N161" s="106"/>
      <c r="O161" s="106"/>
      <c r="P161" s="106"/>
      <c r="Q161" s="106"/>
      <c r="R161" s="106"/>
      <c r="S161" s="106"/>
      <c r="T161" s="106"/>
      <c r="U161" s="106"/>
      <c r="V161" s="106"/>
      <c r="W161" s="106"/>
      <c r="X161" s="106"/>
      <c r="Y161" s="106"/>
      <c r="Z161" s="106"/>
      <c r="AA161" s="106"/>
      <c r="AB161" s="106"/>
      <c r="AC161" s="106"/>
      <c r="AD161" s="106"/>
      <c r="AE161" s="106"/>
      <c r="AF161" s="106"/>
      <c r="AG161" s="106"/>
      <c r="AH161" s="106"/>
      <c r="AI161" s="106"/>
      <c r="AJ161" s="106"/>
    </row>
    <row r="162" spans="1:36" s="6" customFormat="1" ht="20.100000000000001" hidden="1" customHeight="1">
      <c r="A162" s="106"/>
      <c r="B162" s="106"/>
      <c r="C162" s="106"/>
      <c r="D162" s="106"/>
      <c r="E162" s="106"/>
      <c r="F162" s="106"/>
      <c r="G162" s="106"/>
      <c r="H162" s="106"/>
      <c r="I162" s="106"/>
      <c r="J162" s="106"/>
      <c r="K162" s="106"/>
      <c r="L162" s="106"/>
      <c r="M162" s="106"/>
      <c r="N162" s="106"/>
      <c r="O162" s="106"/>
      <c r="P162" s="106"/>
      <c r="Q162" s="106"/>
      <c r="R162" s="106"/>
      <c r="S162" s="106"/>
      <c r="T162" s="106"/>
      <c r="U162" s="106"/>
      <c r="V162" s="106"/>
      <c r="W162" s="106"/>
      <c r="X162" s="106"/>
      <c r="Y162" s="106"/>
      <c r="Z162" s="106"/>
      <c r="AA162" s="106"/>
      <c r="AB162" s="106"/>
      <c r="AC162" s="106"/>
      <c r="AD162" s="106"/>
      <c r="AE162" s="106"/>
      <c r="AF162" s="106"/>
      <c r="AG162" s="106"/>
      <c r="AH162" s="106"/>
      <c r="AI162" s="106"/>
      <c r="AJ162" s="106"/>
    </row>
    <row r="163" spans="1:36" s="6" customFormat="1" ht="15" hidden="1" customHeight="1">
      <c r="A163" s="106"/>
      <c r="B163" s="106"/>
      <c r="C163" s="106"/>
      <c r="D163" s="106"/>
      <c r="E163" s="106"/>
      <c r="F163" s="106"/>
      <c r="G163" s="106"/>
      <c r="H163" s="106"/>
      <c r="I163" s="106"/>
      <c r="J163" s="106"/>
      <c r="K163" s="106"/>
      <c r="L163" s="106"/>
      <c r="M163" s="106"/>
      <c r="N163" s="106"/>
      <c r="O163" s="106"/>
      <c r="P163" s="106"/>
      <c r="Q163" s="106"/>
      <c r="R163" s="106"/>
      <c r="S163" s="106"/>
      <c r="T163" s="106"/>
      <c r="U163" s="106"/>
      <c r="V163" s="106"/>
      <c r="W163" s="106"/>
      <c r="X163" s="106"/>
      <c r="Y163" s="106"/>
      <c r="Z163" s="106"/>
      <c r="AA163" s="106"/>
      <c r="AB163" s="106"/>
      <c r="AC163" s="106"/>
      <c r="AD163" s="106"/>
      <c r="AE163" s="106"/>
      <c r="AF163" s="106"/>
      <c r="AG163" s="106"/>
      <c r="AH163" s="106"/>
      <c r="AI163" s="106"/>
      <c r="AJ163" s="106"/>
    </row>
    <row r="164" spans="1:36" s="6" customFormat="1" ht="15" hidden="1" customHeight="1">
      <c r="A164" s="106"/>
      <c r="B164" s="106"/>
      <c r="C164" s="106"/>
      <c r="D164" s="106"/>
      <c r="E164" s="106"/>
      <c r="F164" s="106"/>
      <c r="G164" s="106"/>
      <c r="H164" s="106"/>
      <c r="I164" s="106"/>
      <c r="J164" s="106"/>
      <c r="K164" s="106"/>
      <c r="L164" s="106"/>
      <c r="M164" s="106"/>
      <c r="N164" s="106"/>
      <c r="O164" s="106"/>
      <c r="P164" s="106"/>
      <c r="Q164" s="106"/>
      <c r="R164" s="106"/>
      <c r="S164" s="106"/>
      <c r="T164" s="106"/>
      <c r="U164" s="106"/>
      <c r="V164" s="106"/>
      <c r="W164" s="106"/>
      <c r="X164" s="106"/>
      <c r="Y164" s="106"/>
      <c r="Z164" s="106"/>
      <c r="AA164" s="106"/>
      <c r="AB164" s="106"/>
      <c r="AC164" s="106"/>
      <c r="AD164" s="106"/>
      <c r="AE164" s="106"/>
      <c r="AF164" s="106"/>
      <c r="AG164" s="106"/>
      <c r="AH164" s="106"/>
      <c r="AI164" s="106"/>
      <c r="AJ164" s="106"/>
    </row>
    <row r="165" spans="1:36" s="6" customFormat="1" ht="15" hidden="1" customHeight="1">
      <c r="A165" s="106"/>
      <c r="B165" s="106"/>
      <c r="C165" s="106"/>
      <c r="D165" s="106"/>
      <c r="E165" s="106"/>
      <c r="F165" s="106"/>
      <c r="G165" s="106"/>
      <c r="H165" s="106"/>
      <c r="I165" s="106"/>
      <c r="J165" s="106"/>
      <c r="K165" s="106"/>
      <c r="L165" s="106"/>
      <c r="M165" s="106"/>
      <c r="N165" s="106"/>
      <c r="O165" s="106"/>
      <c r="P165" s="106"/>
      <c r="Q165" s="106"/>
      <c r="R165" s="106"/>
      <c r="S165" s="106"/>
      <c r="T165" s="106"/>
      <c r="U165" s="106"/>
      <c r="V165" s="106"/>
      <c r="W165" s="106"/>
      <c r="X165" s="106"/>
      <c r="Y165" s="106"/>
      <c r="Z165" s="106"/>
      <c r="AA165" s="106"/>
      <c r="AB165" s="106"/>
      <c r="AC165" s="106"/>
      <c r="AD165" s="106"/>
      <c r="AE165" s="106"/>
      <c r="AF165" s="106"/>
      <c r="AG165" s="106"/>
      <c r="AH165" s="106"/>
      <c r="AI165" s="106"/>
      <c r="AJ165" s="106"/>
    </row>
    <row r="166" spans="1:36" s="6" customFormat="1" ht="15" hidden="1" customHeight="1">
      <c r="A166" s="106"/>
      <c r="B166" s="106"/>
      <c r="C166" s="106"/>
      <c r="D166" s="106"/>
      <c r="E166" s="106"/>
      <c r="F166" s="106"/>
      <c r="G166" s="106"/>
      <c r="H166" s="106"/>
      <c r="I166" s="106"/>
      <c r="J166" s="106"/>
      <c r="K166" s="106"/>
      <c r="L166" s="106"/>
      <c r="M166" s="106"/>
      <c r="N166" s="106"/>
      <c r="O166" s="106"/>
      <c r="P166" s="106"/>
      <c r="Q166" s="106"/>
      <c r="R166" s="106"/>
      <c r="S166" s="106"/>
      <c r="T166" s="106"/>
      <c r="U166" s="106"/>
      <c r="V166" s="106"/>
      <c r="W166" s="106"/>
      <c r="X166" s="106"/>
      <c r="Y166" s="106"/>
      <c r="Z166" s="106"/>
      <c r="AA166" s="106"/>
      <c r="AB166" s="106"/>
      <c r="AC166" s="106"/>
      <c r="AD166" s="106"/>
      <c r="AE166" s="106"/>
      <c r="AF166" s="106"/>
      <c r="AG166" s="106"/>
      <c r="AH166" s="106"/>
      <c r="AI166" s="106"/>
      <c r="AJ166" s="106"/>
    </row>
    <row r="167" spans="1:36" s="6" customFormat="1" ht="15" hidden="1" customHeight="1">
      <c r="A167" s="106"/>
      <c r="B167" s="106"/>
      <c r="C167" s="106"/>
      <c r="D167" s="106"/>
      <c r="E167" s="106"/>
      <c r="F167" s="106"/>
      <c r="G167" s="106"/>
      <c r="H167" s="106"/>
      <c r="I167" s="106"/>
      <c r="J167" s="106"/>
      <c r="K167" s="106"/>
      <c r="L167" s="106"/>
      <c r="M167" s="106"/>
      <c r="N167" s="106"/>
      <c r="O167" s="106"/>
      <c r="P167" s="106"/>
      <c r="Q167" s="106"/>
      <c r="R167" s="106"/>
      <c r="S167" s="106"/>
      <c r="T167" s="106"/>
      <c r="U167" s="106"/>
      <c r="V167" s="106"/>
      <c r="W167" s="106"/>
      <c r="X167" s="106"/>
      <c r="Y167" s="106"/>
      <c r="Z167" s="106"/>
      <c r="AA167" s="106"/>
      <c r="AB167" s="106"/>
      <c r="AC167" s="106"/>
      <c r="AD167" s="106"/>
      <c r="AE167" s="106"/>
      <c r="AF167" s="106"/>
      <c r="AG167" s="106"/>
      <c r="AH167" s="106"/>
      <c r="AI167" s="106"/>
      <c r="AJ167" s="106"/>
    </row>
    <row r="168" spans="1:36" s="6" customFormat="1" ht="15" hidden="1" customHeight="1">
      <c r="A168" s="106"/>
      <c r="B168" s="106"/>
      <c r="C168" s="106"/>
      <c r="D168" s="106"/>
      <c r="E168" s="106"/>
      <c r="F168" s="106"/>
      <c r="G168" s="106"/>
      <c r="H168" s="106"/>
      <c r="I168" s="106"/>
      <c r="J168" s="106"/>
      <c r="K168" s="106"/>
      <c r="L168" s="106"/>
      <c r="M168" s="106"/>
      <c r="N168" s="106"/>
      <c r="O168" s="106"/>
      <c r="P168" s="106"/>
      <c r="Q168" s="106"/>
      <c r="R168" s="106"/>
      <c r="S168" s="106"/>
      <c r="T168" s="106"/>
      <c r="U168" s="106"/>
      <c r="V168" s="106"/>
      <c r="W168" s="106"/>
      <c r="X168" s="106"/>
      <c r="Y168" s="106"/>
      <c r="Z168" s="106"/>
      <c r="AA168" s="106"/>
      <c r="AB168" s="106"/>
      <c r="AC168" s="106"/>
      <c r="AD168" s="106"/>
      <c r="AE168" s="106"/>
      <c r="AF168" s="106"/>
      <c r="AG168" s="106"/>
      <c r="AH168" s="106"/>
      <c r="AI168" s="106"/>
      <c r="AJ168" s="106"/>
    </row>
    <row r="169" spans="1:36" s="6" customFormat="1" ht="15" hidden="1" customHeight="1">
      <c r="A169" s="106"/>
      <c r="B169" s="106"/>
      <c r="C169" s="106"/>
      <c r="D169" s="106"/>
      <c r="E169" s="106"/>
      <c r="F169" s="106"/>
      <c r="G169" s="106"/>
      <c r="H169" s="106"/>
      <c r="I169" s="106"/>
      <c r="J169" s="106"/>
      <c r="K169" s="106"/>
      <c r="L169" s="106"/>
      <c r="M169" s="106"/>
      <c r="N169" s="106"/>
      <c r="O169" s="106"/>
      <c r="P169" s="106"/>
      <c r="Q169" s="106"/>
      <c r="R169" s="106"/>
      <c r="S169" s="106"/>
      <c r="T169" s="106"/>
      <c r="U169" s="106"/>
      <c r="V169" s="106"/>
      <c r="W169" s="106"/>
      <c r="X169" s="106"/>
      <c r="Y169" s="106"/>
      <c r="Z169" s="106"/>
      <c r="AA169" s="106"/>
      <c r="AB169" s="106"/>
      <c r="AC169" s="106"/>
      <c r="AD169" s="106"/>
      <c r="AE169" s="106"/>
      <c r="AF169" s="106"/>
      <c r="AG169" s="106"/>
      <c r="AH169" s="106"/>
      <c r="AI169" s="106"/>
      <c r="AJ169" s="106"/>
    </row>
    <row r="170" spans="1:36" s="6" customFormat="1" ht="15" hidden="1" customHeight="1">
      <c r="A170" s="106"/>
      <c r="B170" s="106"/>
      <c r="C170" s="106"/>
      <c r="D170" s="106"/>
      <c r="E170" s="106"/>
      <c r="F170" s="106"/>
      <c r="G170" s="106"/>
      <c r="H170" s="106"/>
      <c r="I170" s="106"/>
      <c r="J170" s="106"/>
      <c r="K170" s="106"/>
      <c r="L170" s="106"/>
      <c r="M170" s="106"/>
      <c r="N170" s="106"/>
      <c r="O170" s="106"/>
      <c r="P170" s="106"/>
      <c r="Q170" s="106"/>
      <c r="R170" s="106"/>
      <c r="S170" s="106"/>
      <c r="T170" s="106"/>
      <c r="U170" s="106"/>
      <c r="V170" s="106"/>
      <c r="W170" s="106"/>
      <c r="X170" s="106"/>
      <c r="Y170" s="106"/>
      <c r="Z170" s="106"/>
      <c r="AA170" s="106"/>
      <c r="AB170" s="106"/>
      <c r="AC170" s="106"/>
      <c r="AD170" s="106"/>
      <c r="AE170" s="106"/>
      <c r="AF170" s="106"/>
      <c r="AG170" s="106"/>
      <c r="AH170" s="106"/>
      <c r="AI170" s="106"/>
      <c r="AJ170" s="106"/>
    </row>
    <row r="171" spans="1:36" s="6" customFormat="1" ht="15" hidden="1" customHeight="1">
      <c r="A171" s="106"/>
      <c r="B171" s="106"/>
      <c r="C171" s="106"/>
      <c r="D171" s="106"/>
      <c r="E171" s="106"/>
      <c r="F171" s="106"/>
      <c r="G171" s="106"/>
      <c r="H171" s="106"/>
      <c r="I171" s="106"/>
      <c r="J171" s="106"/>
      <c r="K171" s="106"/>
      <c r="L171" s="106"/>
      <c r="M171" s="106"/>
      <c r="N171" s="106"/>
      <c r="O171" s="106"/>
      <c r="P171" s="106"/>
      <c r="Q171" s="106"/>
      <c r="R171" s="106"/>
      <c r="S171" s="106"/>
      <c r="T171" s="106"/>
      <c r="U171" s="106"/>
      <c r="V171" s="106"/>
      <c r="W171" s="106"/>
      <c r="X171" s="106"/>
      <c r="Y171" s="106"/>
      <c r="Z171" s="106"/>
      <c r="AA171" s="106"/>
      <c r="AB171" s="106"/>
      <c r="AC171" s="106"/>
      <c r="AD171" s="106"/>
      <c r="AE171" s="106"/>
      <c r="AF171" s="106"/>
      <c r="AG171" s="106"/>
      <c r="AH171" s="106"/>
      <c r="AI171" s="106"/>
      <c r="AJ171" s="106"/>
    </row>
    <row r="172" spans="1:36" s="6" customFormat="1" ht="15" hidden="1" customHeight="1">
      <c r="A172" s="106"/>
      <c r="B172" s="106"/>
      <c r="C172" s="106"/>
      <c r="D172" s="106"/>
      <c r="E172" s="106"/>
      <c r="F172" s="106"/>
      <c r="G172" s="106"/>
      <c r="H172" s="106"/>
      <c r="I172" s="106"/>
      <c r="J172" s="106"/>
      <c r="K172" s="106"/>
      <c r="L172" s="106"/>
      <c r="M172" s="106"/>
      <c r="N172" s="106"/>
      <c r="O172" s="106"/>
      <c r="P172" s="106"/>
      <c r="Q172" s="106"/>
      <c r="R172" s="106"/>
      <c r="S172" s="106"/>
      <c r="T172" s="106"/>
      <c r="U172" s="106"/>
      <c r="V172" s="106"/>
      <c r="W172" s="106"/>
      <c r="X172" s="106"/>
      <c r="Y172" s="106"/>
      <c r="Z172" s="106"/>
      <c r="AA172" s="106"/>
      <c r="AB172" s="106"/>
      <c r="AC172" s="106"/>
      <c r="AD172" s="106"/>
      <c r="AE172" s="106"/>
      <c r="AF172" s="106"/>
      <c r="AG172" s="106"/>
      <c r="AH172" s="106"/>
      <c r="AI172" s="106"/>
      <c r="AJ172" s="106"/>
    </row>
    <row r="173" spans="1:36" s="6" customFormat="1" ht="15" hidden="1" customHeight="1">
      <c r="A173" s="106"/>
      <c r="B173" s="106"/>
      <c r="C173" s="106"/>
      <c r="D173" s="106"/>
      <c r="E173" s="106"/>
      <c r="F173" s="106"/>
      <c r="G173" s="106"/>
      <c r="H173" s="106"/>
      <c r="I173" s="106"/>
      <c r="J173" s="106"/>
      <c r="K173" s="106"/>
      <c r="L173" s="106"/>
      <c r="M173" s="106"/>
      <c r="N173" s="106"/>
      <c r="O173" s="106"/>
      <c r="P173" s="106"/>
      <c r="Q173" s="106"/>
      <c r="R173" s="106"/>
      <c r="S173" s="106"/>
      <c r="T173" s="106"/>
      <c r="U173" s="106"/>
      <c r="V173" s="106"/>
      <c r="W173" s="106"/>
      <c r="X173" s="106"/>
      <c r="Y173" s="106"/>
      <c r="Z173" s="106"/>
      <c r="AA173" s="106"/>
      <c r="AB173" s="106"/>
      <c r="AC173" s="106"/>
      <c r="AD173" s="106"/>
      <c r="AE173" s="106"/>
      <c r="AF173" s="106"/>
      <c r="AG173" s="106"/>
      <c r="AH173" s="106"/>
      <c r="AI173" s="106"/>
      <c r="AJ173" s="106"/>
    </row>
    <row r="174" spans="1:36" s="6" customFormat="1" ht="15" hidden="1" customHeight="1">
      <c r="A174" s="106"/>
      <c r="B174" s="106"/>
      <c r="C174" s="106"/>
      <c r="D174" s="106"/>
      <c r="E174" s="106"/>
      <c r="F174" s="106"/>
      <c r="G174" s="106"/>
      <c r="H174" s="106"/>
      <c r="I174" s="106"/>
      <c r="J174" s="106"/>
      <c r="K174" s="106"/>
      <c r="L174" s="106"/>
      <c r="M174" s="106"/>
      <c r="N174" s="106"/>
      <c r="O174" s="106"/>
      <c r="P174" s="106"/>
      <c r="Q174" s="106"/>
      <c r="R174" s="106"/>
      <c r="S174" s="106"/>
      <c r="T174" s="106"/>
      <c r="U174" s="106"/>
      <c r="V174" s="106"/>
      <c r="W174" s="106"/>
      <c r="X174" s="106"/>
      <c r="Y174" s="106"/>
      <c r="Z174" s="106"/>
      <c r="AA174" s="106"/>
      <c r="AB174" s="106"/>
      <c r="AC174" s="106"/>
      <c r="AD174" s="106"/>
      <c r="AE174" s="106"/>
      <c r="AF174" s="106"/>
      <c r="AG174" s="106"/>
      <c r="AH174" s="106"/>
      <c r="AI174" s="106"/>
      <c r="AJ174" s="106"/>
    </row>
    <row r="175" spans="1:36" s="6" customFormat="1" ht="15" hidden="1" customHeight="1">
      <c r="A175" s="106"/>
      <c r="B175" s="106"/>
      <c r="C175" s="106"/>
      <c r="D175" s="106"/>
      <c r="E175" s="106"/>
      <c r="F175" s="106"/>
      <c r="G175" s="106"/>
      <c r="H175" s="106"/>
      <c r="I175" s="106"/>
      <c r="J175" s="106"/>
      <c r="K175" s="106"/>
      <c r="L175" s="106"/>
      <c r="M175" s="106"/>
      <c r="N175" s="106"/>
      <c r="O175" s="106"/>
      <c r="P175" s="106"/>
      <c r="Q175" s="106"/>
      <c r="R175" s="106"/>
      <c r="S175" s="106"/>
      <c r="T175" s="106"/>
      <c r="U175" s="106"/>
      <c r="V175" s="106"/>
      <c r="W175" s="106"/>
      <c r="X175" s="106"/>
      <c r="Y175" s="106"/>
      <c r="Z175" s="106"/>
      <c r="AA175" s="106"/>
      <c r="AB175" s="106"/>
      <c r="AC175" s="106"/>
      <c r="AD175" s="106"/>
      <c r="AE175" s="106"/>
      <c r="AF175" s="106"/>
      <c r="AG175" s="106"/>
      <c r="AH175" s="106"/>
      <c r="AI175" s="106"/>
      <c r="AJ175" s="106"/>
    </row>
    <row r="176" spans="1:36" s="6" customFormat="1" ht="15" hidden="1" customHeight="1">
      <c r="A176" s="106"/>
      <c r="B176" s="106"/>
      <c r="C176" s="106"/>
      <c r="D176" s="106"/>
      <c r="E176" s="106"/>
      <c r="F176" s="106"/>
      <c r="G176" s="106"/>
      <c r="H176" s="106"/>
      <c r="I176" s="106"/>
      <c r="J176" s="106"/>
      <c r="K176" s="106"/>
      <c r="L176" s="106"/>
      <c r="M176" s="106"/>
      <c r="N176" s="106"/>
      <c r="O176" s="106"/>
      <c r="P176" s="106"/>
      <c r="Q176" s="106"/>
      <c r="R176" s="106"/>
      <c r="S176" s="106"/>
      <c r="T176" s="106"/>
      <c r="U176" s="106"/>
      <c r="V176" s="106"/>
      <c r="W176" s="106"/>
      <c r="X176" s="106"/>
      <c r="Y176" s="106"/>
      <c r="Z176" s="106"/>
      <c r="AA176" s="106"/>
      <c r="AB176" s="106"/>
      <c r="AC176" s="106"/>
      <c r="AD176" s="106"/>
      <c r="AE176" s="106"/>
      <c r="AF176" s="106"/>
      <c r="AG176" s="106"/>
      <c r="AH176" s="106"/>
      <c r="AI176" s="106"/>
      <c r="AJ176" s="106"/>
    </row>
    <row r="177" spans="1:36" s="6" customFormat="1" ht="15" hidden="1" customHeight="1">
      <c r="A177" s="106"/>
      <c r="B177" s="106"/>
      <c r="C177" s="106"/>
      <c r="D177" s="106"/>
      <c r="E177" s="106"/>
      <c r="F177" s="106"/>
      <c r="G177" s="106"/>
      <c r="H177" s="106"/>
      <c r="I177" s="106"/>
      <c r="J177" s="106"/>
      <c r="K177" s="106"/>
      <c r="L177" s="106"/>
      <c r="M177" s="106"/>
      <c r="N177" s="106"/>
      <c r="O177" s="106"/>
      <c r="P177" s="106"/>
      <c r="Q177" s="106"/>
      <c r="R177" s="106"/>
      <c r="S177" s="106"/>
      <c r="T177" s="106"/>
      <c r="U177" s="106"/>
      <c r="V177" s="106"/>
      <c r="W177" s="106"/>
      <c r="X177" s="106"/>
      <c r="Y177" s="106"/>
      <c r="Z177" s="106"/>
      <c r="AA177" s="106"/>
      <c r="AB177" s="106"/>
      <c r="AC177" s="106"/>
      <c r="AD177" s="106"/>
      <c r="AE177" s="106"/>
      <c r="AF177" s="106"/>
      <c r="AG177" s="106"/>
      <c r="AH177" s="106"/>
      <c r="AI177" s="106"/>
      <c r="AJ177" s="106"/>
    </row>
    <row r="178" spans="1:36" s="6" customFormat="1" ht="15" hidden="1" customHeight="1">
      <c r="A178" s="106"/>
      <c r="B178" s="106"/>
      <c r="C178" s="106"/>
      <c r="D178" s="106"/>
      <c r="E178" s="106"/>
      <c r="F178" s="106"/>
      <c r="G178" s="106"/>
      <c r="H178" s="106"/>
      <c r="I178" s="106"/>
      <c r="J178" s="106"/>
      <c r="K178" s="106"/>
      <c r="L178" s="106"/>
      <c r="M178" s="106"/>
      <c r="N178" s="106"/>
      <c r="O178" s="106"/>
      <c r="P178" s="106"/>
      <c r="Q178" s="106"/>
      <c r="R178" s="106"/>
      <c r="S178" s="106"/>
      <c r="T178" s="106"/>
      <c r="U178" s="106"/>
      <c r="V178" s="106"/>
      <c r="W178" s="106"/>
      <c r="X178" s="106"/>
      <c r="Y178" s="106"/>
      <c r="Z178" s="106"/>
      <c r="AA178" s="106"/>
      <c r="AB178" s="106"/>
      <c r="AC178" s="106"/>
      <c r="AD178" s="106"/>
      <c r="AE178" s="106"/>
      <c r="AF178" s="106"/>
      <c r="AG178" s="106"/>
      <c r="AH178" s="106"/>
      <c r="AI178" s="106"/>
      <c r="AJ178" s="106"/>
    </row>
    <row r="179" spans="1:36" s="6" customFormat="1" ht="15" hidden="1" customHeight="1">
      <c r="A179" s="106"/>
      <c r="B179" s="106"/>
      <c r="C179" s="106"/>
      <c r="D179" s="106"/>
      <c r="E179" s="106"/>
      <c r="F179" s="106"/>
      <c r="G179" s="106"/>
      <c r="H179" s="106"/>
      <c r="I179" s="106"/>
      <c r="J179" s="106"/>
      <c r="K179" s="106"/>
      <c r="L179" s="106"/>
      <c r="M179" s="106"/>
      <c r="N179" s="106"/>
      <c r="O179" s="106"/>
      <c r="P179" s="106"/>
      <c r="Q179" s="106"/>
      <c r="R179" s="106"/>
      <c r="S179" s="106"/>
      <c r="T179" s="106"/>
      <c r="U179" s="106"/>
      <c r="V179" s="106"/>
      <c r="W179" s="106"/>
      <c r="X179" s="106"/>
      <c r="Y179" s="106"/>
      <c r="Z179" s="106"/>
      <c r="AA179" s="106"/>
      <c r="AB179" s="106"/>
      <c r="AC179" s="106"/>
      <c r="AD179" s="106"/>
      <c r="AE179" s="106"/>
      <c r="AF179" s="106"/>
      <c r="AG179" s="106"/>
      <c r="AH179" s="106"/>
      <c r="AI179" s="106"/>
      <c r="AJ179" s="106"/>
    </row>
    <row r="180" spans="1:36" s="6" customFormat="1" ht="15" hidden="1" customHeight="1">
      <c r="A180" s="106"/>
      <c r="B180" s="106"/>
      <c r="C180" s="106"/>
      <c r="D180" s="106"/>
      <c r="E180" s="106"/>
      <c r="F180" s="106"/>
      <c r="G180" s="106"/>
      <c r="H180" s="106"/>
      <c r="I180" s="106"/>
      <c r="J180" s="106"/>
      <c r="K180" s="106"/>
      <c r="L180" s="106"/>
      <c r="M180" s="106"/>
      <c r="N180" s="106"/>
      <c r="O180" s="106"/>
      <c r="P180" s="106"/>
      <c r="Q180" s="106"/>
      <c r="R180" s="106"/>
      <c r="S180" s="106"/>
      <c r="T180" s="106"/>
      <c r="U180" s="106"/>
      <c r="V180" s="106"/>
      <c r="W180" s="106"/>
      <c r="X180" s="106"/>
      <c r="Y180" s="106"/>
      <c r="Z180" s="106"/>
      <c r="AA180" s="106"/>
      <c r="AB180" s="106"/>
      <c r="AC180" s="106"/>
      <c r="AD180" s="106"/>
      <c r="AE180" s="106"/>
      <c r="AF180" s="106"/>
      <c r="AG180" s="106"/>
      <c r="AH180" s="106"/>
      <c r="AI180" s="106"/>
      <c r="AJ180" s="106"/>
    </row>
    <row r="181" spans="1:36" s="6" customFormat="1" ht="15" hidden="1" customHeight="1">
      <c r="A181" s="106"/>
      <c r="B181" s="106"/>
      <c r="C181" s="106"/>
      <c r="D181" s="106"/>
      <c r="E181" s="106"/>
      <c r="F181" s="106"/>
      <c r="G181" s="106"/>
      <c r="H181" s="106"/>
      <c r="I181" s="106"/>
      <c r="J181" s="106"/>
      <c r="K181" s="106"/>
      <c r="L181" s="106"/>
      <c r="M181" s="106"/>
      <c r="N181" s="106"/>
      <c r="O181" s="106"/>
      <c r="P181" s="106"/>
      <c r="Q181" s="106"/>
      <c r="R181" s="106"/>
      <c r="S181" s="106"/>
      <c r="T181" s="106"/>
      <c r="U181" s="106"/>
      <c r="V181" s="106"/>
      <c r="W181" s="106"/>
      <c r="X181" s="106"/>
      <c r="Y181" s="106"/>
      <c r="Z181" s="106"/>
      <c r="AA181" s="106"/>
      <c r="AB181" s="106"/>
      <c r="AC181" s="106"/>
      <c r="AD181" s="106"/>
      <c r="AE181" s="106"/>
      <c r="AF181" s="106"/>
      <c r="AG181" s="106"/>
      <c r="AH181" s="106"/>
      <c r="AI181" s="106"/>
      <c r="AJ181" s="106"/>
    </row>
    <row r="182" spans="1:36" s="6" customFormat="1" ht="15" hidden="1" customHeight="1">
      <c r="A182" s="106"/>
      <c r="B182" s="106"/>
      <c r="C182" s="106"/>
      <c r="D182" s="106"/>
      <c r="E182" s="106"/>
      <c r="F182" s="106"/>
      <c r="G182" s="106"/>
      <c r="H182" s="106"/>
      <c r="I182" s="106"/>
      <c r="J182" s="106"/>
      <c r="K182" s="106"/>
      <c r="L182" s="106"/>
      <c r="M182" s="106"/>
      <c r="N182" s="106"/>
      <c r="O182" s="106"/>
      <c r="P182" s="106"/>
      <c r="Q182" s="106"/>
      <c r="R182" s="106"/>
      <c r="S182" s="106"/>
      <c r="T182" s="106"/>
      <c r="U182" s="106"/>
      <c r="V182" s="106"/>
      <c r="W182" s="106"/>
      <c r="X182" s="106"/>
      <c r="Y182" s="106"/>
      <c r="Z182" s="106"/>
      <c r="AA182" s="106"/>
      <c r="AB182" s="106"/>
      <c r="AC182" s="106"/>
      <c r="AD182" s="106"/>
      <c r="AE182" s="106"/>
      <c r="AF182" s="106"/>
      <c r="AG182" s="106"/>
      <c r="AH182" s="106"/>
      <c r="AI182" s="106"/>
      <c r="AJ182" s="106"/>
    </row>
    <row r="183" spans="1:36" s="6" customFormat="1" ht="15" hidden="1" customHeight="1">
      <c r="A183" s="106"/>
      <c r="B183" s="106"/>
      <c r="C183" s="106"/>
      <c r="D183" s="106"/>
      <c r="E183" s="106"/>
      <c r="F183" s="106"/>
      <c r="G183" s="106"/>
      <c r="H183" s="106"/>
      <c r="I183" s="106"/>
      <c r="J183" s="106"/>
      <c r="K183" s="106"/>
      <c r="L183" s="106"/>
      <c r="M183" s="106"/>
      <c r="N183" s="106"/>
      <c r="O183" s="106"/>
      <c r="P183" s="106"/>
      <c r="Q183" s="106"/>
      <c r="R183" s="106"/>
      <c r="S183" s="106"/>
      <c r="T183" s="106"/>
      <c r="U183" s="106"/>
      <c r="V183" s="106"/>
      <c r="W183" s="106"/>
      <c r="X183" s="106"/>
      <c r="Y183" s="106"/>
      <c r="Z183" s="106"/>
      <c r="AA183" s="106"/>
      <c r="AB183" s="106"/>
      <c r="AC183" s="106"/>
      <c r="AD183" s="106"/>
      <c r="AE183" s="106"/>
      <c r="AF183" s="106"/>
      <c r="AG183" s="106"/>
      <c r="AH183" s="106"/>
      <c r="AI183" s="106"/>
      <c r="AJ183" s="106"/>
    </row>
    <row r="184" spans="1:36" s="6" customFormat="1" ht="15" hidden="1" customHeight="1">
      <c r="A184" s="106"/>
      <c r="B184" s="106"/>
      <c r="C184" s="106"/>
      <c r="D184" s="106"/>
      <c r="E184" s="106"/>
      <c r="F184" s="106"/>
      <c r="G184" s="106"/>
      <c r="H184" s="106"/>
      <c r="I184" s="106"/>
      <c r="J184" s="106"/>
      <c r="K184" s="106"/>
      <c r="L184" s="106"/>
      <c r="M184" s="106"/>
      <c r="N184" s="106"/>
      <c r="O184" s="106"/>
      <c r="P184" s="106"/>
      <c r="Q184" s="106"/>
      <c r="R184" s="106"/>
      <c r="S184" s="106"/>
      <c r="T184" s="106"/>
      <c r="U184" s="106"/>
      <c r="V184" s="106"/>
      <c r="W184" s="106"/>
      <c r="X184" s="106"/>
      <c r="Y184" s="106"/>
      <c r="Z184" s="106"/>
      <c r="AA184" s="106"/>
      <c r="AB184" s="106"/>
      <c r="AC184" s="106"/>
      <c r="AD184" s="106"/>
      <c r="AE184" s="106"/>
      <c r="AF184" s="106"/>
      <c r="AG184" s="106"/>
      <c r="AH184" s="106"/>
      <c r="AI184" s="106"/>
      <c r="AJ184" s="106"/>
    </row>
    <row r="185" spans="1:36" s="6" customFormat="1" ht="15" hidden="1" customHeight="1">
      <c r="A185" s="106"/>
      <c r="B185" s="106"/>
      <c r="C185" s="106"/>
      <c r="D185" s="106"/>
      <c r="E185" s="106"/>
      <c r="F185" s="106"/>
      <c r="G185" s="106"/>
      <c r="H185" s="106"/>
      <c r="I185" s="106"/>
      <c r="J185" s="106"/>
      <c r="K185" s="106"/>
      <c r="L185" s="106"/>
      <c r="M185" s="106"/>
      <c r="N185" s="106"/>
      <c r="O185" s="106"/>
      <c r="P185" s="106"/>
      <c r="Q185" s="106"/>
      <c r="R185" s="106"/>
      <c r="S185" s="106"/>
      <c r="T185" s="106"/>
      <c r="U185" s="106"/>
      <c r="V185" s="106"/>
      <c r="W185" s="106"/>
      <c r="X185" s="106"/>
      <c r="Y185" s="106"/>
      <c r="Z185" s="106"/>
      <c r="AA185" s="106"/>
      <c r="AB185" s="106"/>
      <c r="AC185" s="106"/>
      <c r="AD185" s="106"/>
      <c r="AE185" s="106"/>
      <c r="AF185" s="106"/>
      <c r="AG185" s="106"/>
      <c r="AH185" s="106"/>
      <c r="AI185" s="106"/>
      <c r="AJ185" s="106"/>
    </row>
    <row r="186" spans="1:36" s="6" customFormat="1" ht="15" hidden="1" customHeight="1">
      <c r="A186" s="106"/>
      <c r="B186" s="106"/>
      <c r="C186" s="106"/>
      <c r="D186" s="106"/>
      <c r="E186" s="106"/>
      <c r="F186" s="106"/>
      <c r="G186" s="106"/>
      <c r="H186" s="106"/>
      <c r="I186" s="106"/>
      <c r="J186" s="106"/>
      <c r="K186" s="106"/>
      <c r="L186" s="106"/>
      <c r="M186" s="106"/>
      <c r="N186" s="106"/>
      <c r="O186" s="106"/>
      <c r="P186" s="106"/>
      <c r="Q186" s="106"/>
      <c r="R186" s="106"/>
      <c r="S186" s="106"/>
      <c r="T186" s="106"/>
      <c r="U186" s="106"/>
      <c r="V186" s="106"/>
      <c r="W186" s="106"/>
      <c r="X186" s="106"/>
      <c r="Y186" s="106"/>
      <c r="Z186" s="106"/>
      <c r="AA186" s="106"/>
      <c r="AB186" s="106"/>
      <c r="AC186" s="106"/>
      <c r="AD186" s="106"/>
      <c r="AE186" s="106"/>
      <c r="AF186" s="106"/>
      <c r="AG186" s="106"/>
      <c r="AH186" s="106"/>
      <c r="AI186" s="106"/>
      <c r="AJ186" s="106"/>
    </row>
    <row r="187" spans="1:36" s="6" customFormat="1" ht="15" hidden="1" customHeight="1">
      <c r="A187" s="106"/>
      <c r="B187" s="106"/>
      <c r="C187" s="106"/>
      <c r="D187" s="106"/>
      <c r="E187" s="106"/>
      <c r="F187" s="106"/>
      <c r="G187" s="106"/>
      <c r="H187" s="106"/>
      <c r="I187" s="106"/>
      <c r="J187" s="106"/>
      <c r="K187" s="106"/>
      <c r="L187" s="106"/>
      <c r="M187" s="106"/>
      <c r="N187" s="106"/>
      <c r="O187" s="106"/>
      <c r="P187" s="106"/>
      <c r="Q187" s="106"/>
      <c r="R187" s="106"/>
      <c r="S187" s="106"/>
      <c r="T187" s="106"/>
      <c r="U187" s="106"/>
      <c r="V187" s="106"/>
      <c r="W187" s="106"/>
      <c r="X187" s="106"/>
      <c r="Y187" s="106"/>
      <c r="Z187" s="106"/>
      <c r="AA187" s="106"/>
      <c r="AB187" s="106"/>
      <c r="AC187" s="106"/>
      <c r="AD187" s="106"/>
      <c r="AE187" s="106"/>
      <c r="AF187" s="106"/>
      <c r="AG187" s="106"/>
      <c r="AH187" s="106"/>
      <c r="AI187" s="106"/>
      <c r="AJ187" s="106"/>
    </row>
    <row r="188" spans="1:36" s="6" customFormat="1" ht="15" hidden="1" customHeight="1">
      <c r="A188" s="106"/>
      <c r="B188" s="106"/>
      <c r="C188" s="106"/>
      <c r="D188" s="106"/>
      <c r="E188" s="106"/>
      <c r="F188" s="106"/>
      <c r="G188" s="106"/>
      <c r="H188" s="106"/>
      <c r="I188" s="106"/>
      <c r="J188" s="106"/>
      <c r="K188" s="106"/>
      <c r="L188" s="106"/>
      <c r="M188" s="106"/>
      <c r="N188" s="106"/>
      <c r="O188" s="106"/>
      <c r="P188" s="106"/>
      <c r="Q188" s="106"/>
      <c r="R188" s="106"/>
      <c r="S188" s="106"/>
      <c r="T188" s="106"/>
      <c r="U188" s="106"/>
      <c r="V188" s="106"/>
      <c r="W188" s="106"/>
      <c r="X188" s="106"/>
      <c r="Y188" s="106"/>
      <c r="Z188" s="106"/>
      <c r="AA188" s="106"/>
      <c r="AB188" s="106"/>
      <c r="AC188" s="106"/>
      <c r="AD188" s="106"/>
      <c r="AE188" s="106"/>
      <c r="AF188" s="106"/>
      <c r="AG188" s="106"/>
      <c r="AH188" s="106"/>
      <c r="AI188" s="106"/>
      <c r="AJ188" s="106"/>
    </row>
    <row r="189" spans="1:36" s="6" customFormat="1" ht="15" hidden="1" customHeight="1">
      <c r="A189" s="106"/>
      <c r="B189" s="106"/>
      <c r="C189" s="106"/>
      <c r="D189" s="106"/>
      <c r="E189" s="106"/>
      <c r="F189" s="106"/>
      <c r="G189" s="106"/>
      <c r="H189" s="106"/>
      <c r="I189" s="106"/>
      <c r="J189" s="106"/>
      <c r="K189" s="106"/>
      <c r="L189" s="106"/>
      <c r="M189" s="106"/>
      <c r="N189" s="106"/>
      <c r="O189" s="106"/>
      <c r="P189" s="106"/>
      <c r="Q189" s="106"/>
      <c r="R189" s="106"/>
      <c r="S189" s="106"/>
      <c r="T189" s="106"/>
      <c r="U189" s="106"/>
      <c r="V189" s="106"/>
      <c r="W189" s="106"/>
      <c r="X189" s="106"/>
      <c r="Y189" s="106"/>
      <c r="Z189" s="106"/>
      <c r="AA189" s="106"/>
      <c r="AB189" s="106"/>
      <c r="AC189" s="106"/>
      <c r="AD189" s="106"/>
      <c r="AE189" s="106"/>
      <c r="AF189" s="106"/>
      <c r="AG189" s="106"/>
      <c r="AH189" s="106"/>
      <c r="AI189" s="106"/>
      <c r="AJ189" s="106"/>
    </row>
    <row r="191" spans="1:36" ht="20.100000000000001" hidden="1" customHeight="1"/>
    <row r="198" spans="37:37" ht="15" hidden="1" customHeight="1">
      <c r="AK198" s="43"/>
    </row>
    <row r="199" spans="37:37" ht="30" hidden="1" customHeight="1"/>
    <row r="200" spans="37:37" ht="30" hidden="1" customHeight="1"/>
    <row r="201" spans="37:37" ht="30" hidden="1" customHeight="1"/>
    <row r="202" spans="37:37" ht="30" hidden="1" customHeight="1"/>
    <row r="203" spans="37:37" ht="30" hidden="1" customHeight="1"/>
    <row r="204" spans="37:37" ht="30" hidden="1" customHeight="1"/>
    <row r="205" spans="37:37" ht="30" hidden="1" customHeight="1"/>
    <row r="207" spans="37:37" ht="30" hidden="1" customHeight="1"/>
    <row r="209" spans="1:36" ht="30" hidden="1" customHeight="1"/>
    <row r="211" spans="1:36" s="6" customFormat="1" ht="15" hidden="1" customHeight="1">
      <c r="A211" s="106"/>
      <c r="B211" s="106"/>
      <c r="C211" s="106"/>
      <c r="D211" s="106"/>
      <c r="E211" s="106"/>
      <c r="F211" s="106"/>
      <c r="G211" s="106"/>
      <c r="H211" s="106"/>
      <c r="I211" s="106"/>
      <c r="J211" s="106"/>
      <c r="K211" s="106"/>
      <c r="L211" s="106"/>
      <c r="M211" s="106"/>
      <c r="N211" s="106"/>
      <c r="O211" s="106"/>
      <c r="P211" s="106"/>
      <c r="Q211" s="106"/>
      <c r="R211" s="106"/>
      <c r="S211" s="106"/>
      <c r="T211" s="106"/>
      <c r="U211" s="106"/>
      <c r="V211" s="106"/>
      <c r="W211" s="106"/>
      <c r="X211" s="106"/>
      <c r="Y211" s="106"/>
      <c r="Z211" s="106"/>
      <c r="AA211" s="106"/>
      <c r="AB211" s="106"/>
      <c r="AC211" s="106"/>
      <c r="AD211" s="106"/>
      <c r="AE211" s="106"/>
      <c r="AF211" s="106"/>
      <c r="AG211" s="106"/>
      <c r="AH211" s="106"/>
      <c r="AI211" s="106"/>
      <c r="AJ211" s="106"/>
    </row>
    <row r="212" spans="1:36" s="6" customFormat="1" ht="15" hidden="1" customHeight="1">
      <c r="A212" s="106"/>
      <c r="B212" s="106"/>
      <c r="C212" s="106"/>
      <c r="D212" s="106"/>
      <c r="E212" s="106"/>
      <c r="F212" s="106"/>
      <c r="G212" s="106"/>
      <c r="H212" s="106"/>
      <c r="I212" s="106"/>
      <c r="J212" s="106"/>
      <c r="K212" s="106"/>
      <c r="L212" s="106"/>
      <c r="M212" s="106"/>
      <c r="N212" s="106"/>
      <c r="O212" s="106"/>
      <c r="P212" s="106"/>
      <c r="Q212" s="106"/>
      <c r="R212" s="106"/>
      <c r="S212" s="106"/>
      <c r="T212" s="106"/>
      <c r="U212" s="106"/>
      <c r="V212" s="106"/>
      <c r="W212" s="106"/>
      <c r="X212" s="106"/>
      <c r="Y212" s="106"/>
      <c r="Z212" s="106"/>
      <c r="AA212" s="106"/>
      <c r="AB212" s="106"/>
      <c r="AC212" s="106"/>
      <c r="AD212" s="106"/>
      <c r="AE212" s="106"/>
      <c r="AF212" s="106"/>
      <c r="AG212" s="106"/>
      <c r="AH212" s="106"/>
      <c r="AI212" s="106"/>
      <c r="AJ212" s="106"/>
    </row>
    <row r="213" spans="1:36" s="6" customFormat="1" ht="15" hidden="1" customHeight="1">
      <c r="A213" s="106"/>
      <c r="B213" s="106"/>
      <c r="C213" s="106"/>
      <c r="D213" s="106"/>
      <c r="E213" s="106"/>
      <c r="F213" s="106"/>
      <c r="G213" s="106"/>
      <c r="H213" s="106"/>
      <c r="I213" s="106"/>
      <c r="J213" s="106"/>
      <c r="K213" s="106"/>
      <c r="L213" s="106"/>
      <c r="M213" s="106"/>
      <c r="N213" s="106"/>
      <c r="O213" s="106"/>
      <c r="P213" s="106"/>
      <c r="Q213" s="106"/>
      <c r="R213" s="106"/>
      <c r="S213" s="106"/>
      <c r="T213" s="106"/>
      <c r="U213" s="106"/>
      <c r="V213" s="106"/>
      <c r="W213" s="106"/>
      <c r="X213" s="106"/>
      <c r="Y213" s="106"/>
      <c r="Z213" s="106"/>
      <c r="AA213" s="106"/>
      <c r="AB213" s="106"/>
      <c r="AC213" s="106"/>
      <c r="AD213" s="106"/>
      <c r="AE213" s="106"/>
      <c r="AF213" s="106"/>
      <c r="AG213" s="106"/>
      <c r="AH213" s="106"/>
      <c r="AI213" s="106"/>
      <c r="AJ213" s="106"/>
    </row>
    <row r="214" spans="1:36" s="6" customFormat="1" ht="15" hidden="1" customHeight="1">
      <c r="A214" s="106"/>
      <c r="B214" s="106"/>
      <c r="C214" s="106"/>
      <c r="D214" s="106"/>
      <c r="E214" s="106"/>
      <c r="F214" s="106"/>
      <c r="G214" s="106"/>
      <c r="H214" s="106"/>
      <c r="I214" s="106"/>
      <c r="J214" s="106"/>
      <c r="K214" s="106"/>
      <c r="L214" s="106"/>
      <c r="M214" s="106"/>
      <c r="N214" s="106"/>
      <c r="O214" s="106"/>
      <c r="P214" s="106"/>
      <c r="Q214" s="106"/>
      <c r="R214" s="106"/>
      <c r="S214" s="106"/>
      <c r="T214" s="106"/>
      <c r="U214" s="106"/>
      <c r="V214" s="106"/>
      <c r="W214" s="106"/>
      <c r="X214" s="106"/>
      <c r="Y214" s="106"/>
      <c r="Z214" s="106"/>
      <c r="AA214" s="106"/>
      <c r="AB214" s="106"/>
      <c r="AC214" s="106"/>
      <c r="AD214" s="106"/>
      <c r="AE214" s="106"/>
      <c r="AF214" s="106"/>
      <c r="AG214" s="106"/>
      <c r="AH214" s="106"/>
      <c r="AI214" s="106"/>
      <c r="AJ214" s="106"/>
    </row>
    <row r="215" spans="1:36" s="6" customFormat="1" ht="15" hidden="1" customHeight="1">
      <c r="A215" s="106"/>
      <c r="B215" s="106"/>
      <c r="C215" s="106"/>
      <c r="D215" s="106"/>
      <c r="E215" s="106"/>
      <c r="F215" s="106"/>
      <c r="G215" s="106"/>
      <c r="H215" s="106"/>
      <c r="I215" s="106"/>
      <c r="J215" s="106"/>
      <c r="K215" s="106"/>
      <c r="L215" s="106"/>
      <c r="M215" s="106"/>
      <c r="N215" s="106"/>
      <c r="O215" s="106"/>
      <c r="P215" s="106"/>
      <c r="Q215" s="106"/>
      <c r="R215" s="106"/>
      <c r="S215" s="106"/>
      <c r="T215" s="106"/>
      <c r="U215" s="106"/>
      <c r="V215" s="106"/>
      <c r="W215" s="106"/>
      <c r="X215" s="106"/>
      <c r="Y215" s="106"/>
      <c r="Z215" s="106"/>
      <c r="AA215" s="106"/>
      <c r="AB215" s="106"/>
      <c r="AC215" s="106"/>
      <c r="AD215" s="106"/>
      <c r="AE215" s="106"/>
      <c r="AF215" s="106"/>
      <c r="AG215" s="106"/>
      <c r="AH215" s="106"/>
      <c r="AI215" s="106"/>
      <c r="AJ215" s="106"/>
    </row>
    <row r="216" spans="1:36" s="6" customFormat="1" ht="15" hidden="1" customHeight="1">
      <c r="A216" s="106"/>
      <c r="B216" s="106"/>
      <c r="C216" s="106"/>
      <c r="D216" s="106"/>
      <c r="E216" s="106"/>
      <c r="F216" s="106"/>
      <c r="G216" s="106"/>
      <c r="H216" s="106"/>
      <c r="I216" s="106"/>
      <c r="J216" s="106"/>
      <c r="K216" s="106"/>
      <c r="L216" s="106"/>
      <c r="M216" s="106"/>
      <c r="N216" s="106"/>
      <c r="O216" s="106"/>
      <c r="P216" s="106"/>
      <c r="Q216" s="106"/>
      <c r="R216" s="106"/>
      <c r="S216" s="106"/>
      <c r="T216" s="106"/>
      <c r="U216" s="106"/>
      <c r="V216" s="106"/>
      <c r="W216" s="106"/>
      <c r="X216" s="106"/>
      <c r="Y216" s="106"/>
      <c r="Z216" s="106"/>
      <c r="AA216" s="106"/>
      <c r="AB216" s="106"/>
      <c r="AC216" s="106"/>
      <c r="AD216" s="106"/>
      <c r="AE216" s="106"/>
      <c r="AF216" s="106"/>
      <c r="AG216" s="106"/>
      <c r="AH216" s="106"/>
      <c r="AI216" s="106"/>
      <c r="AJ216" s="106"/>
    </row>
    <row r="217" spans="1:36" s="6" customFormat="1" ht="15" hidden="1" customHeight="1">
      <c r="A217" s="106"/>
      <c r="B217" s="106"/>
      <c r="C217" s="106"/>
      <c r="D217" s="106"/>
      <c r="E217" s="106"/>
      <c r="F217" s="106"/>
      <c r="G217" s="106"/>
      <c r="H217" s="106"/>
      <c r="I217" s="106"/>
      <c r="J217" s="106"/>
      <c r="K217" s="106"/>
      <c r="L217" s="106"/>
      <c r="M217" s="106"/>
      <c r="N217" s="106"/>
      <c r="O217" s="106"/>
      <c r="P217" s="106"/>
      <c r="Q217" s="106"/>
      <c r="R217" s="106"/>
      <c r="S217" s="106"/>
      <c r="T217" s="106"/>
      <c r="U217" s="106"/>
      <c r="V217" s="106"/>
      <c r="W217" s="106"/>
      <c r="X217" s="106"/>
      <c r="Y217" s="106"/>
      <c r="Z217" s="106"/>
      <c r="AA217" s="106"/>
      <c r="AB217" s="106"/>
      <c r="AC217" s="106"/>
      <c r="AD217" s="106"/>
      <c r="AE217" s="106"/>
      <c r="AF217" s="106"/>
      <c r="AG217" s="106"/>
      <c r="AH217" s="106"/>
      <c r="AI217" s="106"/>
      <c r="AJ217" s="106"/>
    </row>
    <row r="218" spans="1:36" s="6" customFormat="1" ht="15" hidden="1" customHeight="1">
      <c r="A218" s="106"/>
      <c r="B218" s="106"/>
      <c r="C218" s="106"/>
      <c r="D218" s="106"/>
      <c r="E218" s="106"/>
      <c r="F218" s="106"/>
      <c r="G218" s="106"/>
      <c r="H218" s="106"/>
      <c r="I218" s="106"/>
      <c r="J218" s="106"/>
      <c r="K218" s="106"/>
      <c r="L218" s="106"/>
      <c r="M218" s="106"/>
      <c r="N218" s="106"/>
      <c r="O218" s="106"/>
      <c r="P218" s="106"/>
      <c r="Q218" s="106"/>
      <c r="R218" s="106"/>
      <c r="S218" s="106"/>
      <c r="T218" s="106"/>
      <c r="U218" s="106"/>
      <c r="V218" s="106"/>
      <c r="W218" s="106"/>
      <c r="X218" s="106"/>
      <c r="Y218" s="106"/>
      <c r="Z218" s="106"/>
      <c r="AA218" s="106"/>
      <c r="AB218" s="106"/>
      <c r="AC218" s="106"/>
      <c r="AD218" s="106"/>
      <c r="AE218" s="106"/>
      <c r="AF218" s="106"/>
      <c r="AG218" s="106"/>
      <c r="AH218" s="106"/>
      <c r="AI218" s="106"/>
      <c r="AJ218" s="106"/>
    </row>
    <row r="232" hidden="1"/>
    <row r="233" hidden="1"/>
    <row r="234" hidden="1"/>
    <row r="235" hidden="1"/>
    <row r="236" hidden="1"/>
    <row r="237" ht="20.100000000000001" hidden="1" customHeight="1"/>
    <row r="238" hidden="1"/>
    <row r="239" hidden="1"/>
    <row r="240" hidden="1"/>
    <row r="241" spans="1:36" hidden="1"/>
    <row r="242" spans="1:36" hidden="1"/>
    <row r="243" spans="1:36" hidden="1"/>
    <row r="244" spans="1:36" ht="45" hidden="1" customHeight="1"/>
    <row r="245" spans="1:36" ht="30" hidden="1" customHeight="1"/>
    <row r="246" spans="1:36" ht="30" hidden="1" customHeight="1"/>
    <row r="247" spans="1:36" ht="30" hidden="1" customHeight="1"/>
    <row r="248" spans="1:36" ht="30" hidden="1" customHeight="1"/>
    <row r="249" spans="1:36" hidden="1"/>
    <row r="250" spans="1:36" hidden="1"/>
    <row r="251" spans="1:36" s="6" customFormat="1" ht="15" hidden="1" customHeight="1">
      <c r="A251" s="106"/>
      <c r="B251" s="106"/>
      <c r="C251" s="106"/>
      <c r="D251" s="106"/>
      <c r="E251" s="106"/>
      <c r="F251" s="106"/>
      <c r="G251" s="106"/>
      <c r="H251" s="106"/>
      <c r="I251" s="106"/>
      <c r="J251" s="106"/>
      <c r="K251" s="106"/>
      <c r="L251" s="106"/>
      <c r="M251" s="106"/>
      <c r="N251" s="106"/>
      <c r="O251" s="106"/>
      <c r="P251" s="106"/>
      <c r="Q251" s="106"/>
      <c r="R251" s="106"/>
      <c r="S251" s="106"/>
      <c r="T251" s="106"/>
      <c r="U251" s="106"/>
      <c r="V251" s="106"/>
      <c r="W251" s="106"/>
      <c r="X251" s="106"/>
      <c r="Y251" s="106"/>
      <c r="Z251" s="106"/>
      <c r="AA251" s="106"/>
      <c r="AB251" s="106"/>
      <c r="AC251" s="106"/>
      <c r="AD251" s="106"/>
      <c r="AE251" s="106"/>
      <c r="AF251" s="106"/>
      <c r="AG251" s="106"/>
      <c r="AH251" s="106"/>
      <c r="AI251" s="106"/>
      <c r="AJ251" s="106"/>
    </row>
    <row r="252" spans="1:36" s="6" customFormat="1" ht="15" hidden="1" customHeight="1">
      <c r="A252" s="106"/>
      <c r="B252" s="106"/>
      <c r="C252" s="106"/>
      <c r="D252" s="106"/>
      <c r="E252" s="106"/>
      <c r="F252" s="106"/>
      <c r="G252" s="106"/>
      <c r="H252" s="106"/>
      <c r="I252" s="106"/>
      <c r="J252" s="106"/>
      <c r="K252" s="106"/>
      <c r="L252" s="106"/>
      <c r="M252" s="106"/>
      <c r="N252" s="106"/>
      <c r="O252" s="106"/>
      <c r="P252" s="106"/>
      <c r="Q252" s="106"/>
      <c r="R252" s="106"/>
      <c r="S252" s="106"/>
      <c r="T252" s="106"/>
      <c r="U252" s="106"/>
      <c r="V252" s="106"/>
      <c r="W252" s="106"/>
      <c r="X252" s="106"/>
      <c r="Y252" s="106"/>
      <c r="Z252" s="106"/>
      <c r="AA252" s="106"/>
      <c r="AB252" s="106"/>
      <c r="AC252" s="106"/>
      <c r="AD252" s="106"/>
      <c r="AE252" s="106"/>
      <c r="AF252" s="106"/>
      <c r="AG252" s="106"/>
      <c r="AH252" s="106"/>
      <c r="AI252" s="106"/>
      <c r="AJ252" s="106"/>
    </row>
    <row r="253" spans="1:36" s="6" customFormat="1" ht="15" hidden="1" customHeight="1">
      <c r="A253" s="106"/>
      <c r="B253" s="106"/>
      <c r="C253" s="106"/>
      <c r="D253" s="106"/>
      <c r="E253" s="106"/>
      <c r="F253" s="106"/>
      <c r="G253" s="106"/>
      <c r="H253" s="106"/>
      <c r="I253" s="106"/>
      <c r="J253" s="106"/>
      <c r="K253" s="106"/>
      <c r="L253" s="106"/>
      <c r="M253" s="106"/>
      <c r="N253" s="106"/>
      <c r="O253" s="106"/>
      <c r="P253" s="106"/>
      <c r="Q253" s="106"/>
      <c r="R253" s="106"/>
      <c r="S253" s="106"/>
      <c r="T253" s="106"/>
      <c r="U253" s="106"/>
      <c r="V253" s="106"/>
      <c r="W253" s="106"/>
      <c r="X253" s="106"/>
      <c r="Y253" s="106"/>
      <c r="Z253" s="106"/>
      <c r="AA253" s="106"/>
      <c r="AB253" s="106"/>
      <c r="AC253" s="106"/>
      <c r="AD253" s="106"/>
      <c r="AE253" s="106"/>
      <c r="AF253" s="106"/>
      <c r="AG253" s="106"/>
      <c r="AH253" s="106"/>
      <c r="AI253" s="106"/>
      <c r="AJ253" s="106"/>
    </row>
    <row r="254" spans="1:36" s="6" customFormat="1" ht="15" hidden="1" customHeight="1">
      <c r="A254" s="106"/>
      <c r="B254" s="106"/>
      <c r="C254" s="106"/>
      <c r="D254" s="106"/>
      <c r="E254" s="106"/>
      <c r="F254" s="106"/>
      <c r="G254" s="106"/>
      <c r="H254" s="106"/>
      <c r="I254" s="106"/>
      <c r="J254" s="106"/>
      <c r="K254" s="106"/>
      <c r="L254" s="106"/>
      <c r="M254" s="106"/>
      <c r="N254" s="106"/>
      <c r="O254" s="106"/>
      <c r="P254" s="106"/>
      <c r="Q254" s="106"/>
      <c r="R254" s="106"/>
      <c r="S254" s="106"/>
      <c r="T254" s="106"/>
      <c r="U254" s="106"/>
      <c r="V254" s="106"/>
      <c r="W254" s="106"/>
      <c r="X254" s="106"/>
      <c r="Y254" s="106"/>
      <c r="Z254" s="106"/>
      <c r="AA254" s="106"/>
      <c r="AB254" s="106"/>
      <c r="AC254" s="106"/>
      <c r="AD254" s="106"/>
      <c r="AE254" s="106"/>
      <c r="AF254" s="106"/>
      <c r="AG254" s="106"/>
      <c r="AH254" s="106"/>
      <c r="AI254" s="106"/>
      <c r="AJ254" s="106"/>
    </row>
    <row r="255" spans="1:36" s="6" customFormat="1" ht="15" hidden="1" customHeight="1">
      <c r="A255" s="106"/>
      <c r="B255" s="106"/>
      <c r="C255" s="106"/>
      <c r="D255" s="106"/>
      <c r="E255" s="106"/>
      <c r="F255" s="106"/>
      <c r="G255" s="106"/>
      <c r="H255" s="106"/>
      <c r="I255" s="106"/>
      <c r="J255" s="106"/>
      <c r="K255" s="106"/>
      <c r="L255" s="106"/>
      <c r="M255" s="106"/>
      <c r="N255" s="106"/>
      <c r="O255" s="106"/>
      <c r="P255" s="106"/>
      <c r="Q255" s="106"/>
      <c r="R255" s="106"/>
      <c r="S255" s="106"/>
      <c r="T255" s="106"/>
      <c r="U255" s="106"/>
      <c r="V255" s="106"/>
      <c r="W255" s="106"/>
      <c r="X255" s="106"/>
      <c r="Y255" s="106"/>
      <c r="Z255" s="106"/>
      <c r="AA255" s="106"/>
      <c r="AB255" s="106"/>
      <c r="AC255" s="106"/>
      <c r="AD255" s="106"/>
      <c r="AE255" s="106"/>
      <c r="AF255" s="106"/>
      <c r="AG255" s="106"/>
      <c r="AH255" s="106"/>
      <c r="AI255" s="106"/>
      <c r="AJ255" s="106"/>
    </row>
    <row r="256" spans="1:36" s="6" customFormat="1" ht="15" hidden="1" customHeight="1">
      <c r="A256" s="106"/>
      <c r="B256" s="106"/>
      <c r="C256" s="106"/>
      <c r="D256" s="106"/>
      <c r="E256" s="106"/>
      <c r="F256" s="106"/>
      <c r="G256" s="106"/>
      <c r="H256" s="106"/>
      <c r="I256" s="106"/>
      <c r="J256" s="106"/>
      <c r="K256" s="106"/>
      <c r="L256" s="106"/>
      <c r="M256" s="106"/>
      <c r="N256" s="106"/>
      <c r="O256" s="106"/>
      <c r="P256" s="106"/>
      <c r="Q256" s="106"/>
      <c r="R256" s="106"/>
      <c r="S256" s="106"/>
      <c r="T256" s="106"/>
      <c r="U256" s="106"/>
      <c r="V256" s="106"/>
      <c r="W256" s="106"/>
      <c r="X256" s="106"/>
      <c r="Y256" s="106"/>
      <c r="Z256" s="106"/>
      <c r="AA256" s="106"/>
      <c r="AB256" s="106"/>
      <c r="AC256" s="106"/>
      <c r="AD256" s="106"/>
      <c r="AE256" s="106"/>
      <c r="AF256" s="106"/>
      <c r="AG256" s="106"/>
      <c r="AH256" s="106"/>
      <c r="AI256" s="106"/>
      <c r="AJ256" s="106"/>
    </row>
    <row r="257" spans="1:36" s="6" customFormat="1" ht="15" hidden="1" customHeight="1">
      <c r="A257" s="106"/>
      <c r="B257" s="106"/>
      <c r="C257" s="106"/>
      <c r="D257" s="106"/>
      <c r="E257" s="106"/>
      <c r="F257" s="106"/>
      <c r="G257" s="106"/>
      <c r="H257" s="106"/>
      <c r="I257" s="106"/>
      <c r="J257" s="106"/>
      <c r="K257" s="106"/>
      <c r="L257" s="106"/>
      <c r="M257" s="106"/>
      <c r="N257" s="106"/>
      <c r="O257" s="106"/>
      <c r="P257" s="106"/>
      <c r="Q257" s="106"/>
      <c r="R257" s="106"/>
      <c r="S257" s="106"/>
      <c r="T257" s="106"/>
      <c r="U257" s="106"/>
      <c r="V257" s="106"/>
      <c r="W257" s="106"/>
      <c r="X257" s="106"/>
      <c r="Y257" s="106"/>
      <c r="Z257" s="106"/>
      <c r="AA257" s="106"/>
      <c r="AB257" s="106"/>
      <c r="AC257" s="106"/>
      <c r="AD257" s="106"/>
      <c r="AE257" s="106"/>
      <c r="AF257" s="106"/>
      <c r="AG257" s="106"/>
      <c r="AH257" s="106"/>
      <c r="AI257" s="106"/>
      <c r="AJ257" s="106"/>
    </row>
    <row r="258" spans="1:36" s="6" customFormat="1" ht="15" hidden="1" customHeight="1">
      <c r="A258" s="106"/>
      <c r="B258" s="106"/>
      <c r="C258" s="106"/>
      <c r="D258" s="106"/>
      <c r="E258" s="106"/>
      <c r="F258" s="106"/>
      <c r="G258" s="106"/>
      <c r="H258" s="106"/>
      <c r="I258" s="106"/>
      <c r="J258" s="106"/>
      <c r="K258" s="106"/>
      <c r="L258" s="106"/>
      <c r="M258" s="106"/>
      <c r="N258" s="106"/>
      <c r="O258" s="106"/>
      <c r="P258" s="106"/>
      <c r="Q258" s="106"/>
      <c r="R258" s="106"/>
      <c r="S258" s="106"/>
      <c r="T258" s="106"/>
      <c r="U258" s="106"/>
      <c r="V258" s="106"/>
      <c r="W258" s="106"/>
      <c r="X258" s="106"/>
      <c r="Y258" s="106"/>
      <c r="Z258" s="106"/>
      <c r="AA258" s="106"/>
      <c r="AB258" s="106"/>
      <c r="AC258" s="106"/>
      <c r="AD258" s="106"/>
      <c r="AE258" s="106"/>
      <c r="AF258" s="106"/>
      <c r="AG258" s="106"/>
      <c r="AH258" s="106"/>
      <c r="AI258" s="106"/>
      <c r="AJ258" s="106"/>
    </row>
    <row r="259" spans="1:36" s="6" customFormat="1" ht="15" hidden="1" customHeight="1">
      <c r="A259" s="106"/>
      <c r="B259" s="106"/>
      <c r="C259" s="106"/>
      <c r="D259" s="106"/>
      <c r="E259" s="106"/>
      <c r="F259" s="106"/>
      <c r="G259" s="106"/>
      <c r="H259" s="106"/>
      <c r="I259" s="106"/>
      <c r="J259" s="106"/>
      <c r="K259" s="106"/>
      <c r="L259" s="106"/>
      <c r="M259" s="106"/>
      <c r="N259" s="106"/>
      <c r="O259" s="106"/>
      <c r="P259" s="106"/>
      <c r="Q259" s="106"/>
      <c r="R259" s="106"/>
      <c r="S259" s="106"/>
      <c r="T259" s="106"/>
      <c r="U259" s="106"/>
      <c r="V259" s="106"/>
      <c r="W259" s="106"/>
      <c r="X259" s="106"/>
      <c r="Y259" s="106"/>
      <c r="Z259" s="106"/>
      <c r="AA259" s="106"/>
      <c r="AB259" s="106"/>
      <c r="AC259" s="106"/>
      <c r="AD259" s="106"/>
      <c r="AE259" s="106"/>
      <c r="AF259" s="106"/>
      <c r="AG259" s="106"/>
      <c r="AH259" s="106"/>
      <c r="AI259" s="106"/>
      <c r="AJ259" s="106"/>
    </row>
    <row r="260" spans="1:36" hidden="1"/>
    <row r="261" spans="1:36" hidden="1"/>
    <row r="262" spans="1:36" hidden="1"/>
    <row r="263" spans="1:36" hidden="1"/>
    <row r="264" spans="1:36" hidden="1"/>
    <row r="265" spans="1:36" hidden="1"/>
    <row r="266" spans="1:36" hidden="1"/>
    <row r="267" spans="1:36" hidden="1"/>
    <row r="268" spans="1:36" ht="20.100000000000001" hidden="1" customHeight="1"/>
    <row r="269" spans="1:36" ht="20.100000000000001" hidden="1" customHeight="1"/>
    <row r="270" spans="1:36" ht="20.100000000000001" hidden="1" customHeight="1"/>
    <row r="271" spans="1:36" hidden="1"/>
    <row r="272" spans="1:36" hidden="1"/>
    <row r="273" hidden="1"/>
    <row r="274" hidden="1"/>
    <row r="275" hidden="1"/>
    <row r="276" hidden="1"/>
    <row r="277" hidden="1"/>
    <row r="278" hidden="1"/>
    <row r="279" hidden="1"/>
    <row r="280" hidden="1"/>
    <row r="281" hidden="1"/>
    <row r="282" hidden="1"/>
    <row r="283" hidden="1"/>
    <row r="284" hidden="1"/>
    <row r="285" ht="20.100000000000001" hidden="1" customHeight="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t="20.100000000000001" hidden="1" customHeight="1"/>
    <row r="340" hidden="1"/>
    <row r="341" hidden="1"/>
    <row r="342" hidden="1"/>
    <row r="343" hidden="1"/>
    <row r="344" hidden="1"/>
    <row r="345" hidden="1"/>
    <row r="346" hidden="1"/>
    <row r="347" hidden="1"/>
    <row r="348" hidden="1"/>
    <row r="349" hidden="1"/>
    <row r="350" hidden="1"/>
    <row r="351" hidden="1"/>
    <row r="352" hidden="1"/>
    <row r="353" hidden="1"/>
    <row r="354" ht="14.25" hidden="1" customHeight="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spans="1:38" hidden="1"/>
    <row r="386" spans="1:38" hidden="1"/>
    <row r="387" spans="1:38" hidden="1"/>
    <row r="388" spans="1:38" hidden="1"/>
    <row r="395" spans="1:38" ht="20.100000000000001" hidden="1" customHeight="1">
      <c r="AK395" s="65"/>
      <c r="AL395" s="65"/>
    </row>
    <row r="396" spans="1:38" ht="20.100000000000001" hidden="1" customHeight="1">
      <c r="AK396" s="65"/>
      <c r="AL396" s="65"/>
    </row>
    <row r="400" spans="1:38" s="6" customFormat="1" ht="15" hidden="1" customHeight="1">
      <c r="A400" s="106"/>
      <c r="B400" s="106"/>
      <c r="C400" s="106"/>
      <c r="D400" s="106"/>
      <c r="E400" s="106"/>
      <c r="F400" s="106"/>
      <c r="G400" s="106"/>
      <c r="H400" s="106"/>
      <c r="I400" s="106"/>
      <c r="J400" s="106"/>
      <c r="K400" s="106"/>
      <c r="L400" s="106"/>
      <c r="M400" s="106"/>
      <c r="N400" s="106"/>
      <c r="O400" s="106"/>
      <c r="P400" s="106"/>
      <c r="Q400" s="106"/>
      <c r="R400" s="106"/>
      <c r="S400" s="106"/>
      <c r="T400" s="106"/>
      <c r="U400" s="106"/>
      <c r="V400" s="106"/>
      <c r="W400" s="106"/>
      <c r="X400" s="106"/>
      <c r="Y400" s="106"/>
      <c r="Z400" s="106"/>
      <c r="AA400" s="106"/>
      <c r="AB400" s="106"/>
      <c r="AC400" s="106"/>
      <c r="AD400" s="106"/>
      <c r="AE400" s="106"/>
      <c r="AF400" s="106"/>
      <c r="AG400" s="106"/>
      <c r="AH400" s="106"/>
      <c r="AI400" s="106"/>
      <c r="AJ400" s="106"/>
    </row>
    <row r="401" spans="1:36" s="6" customFormat="1" ht="15" hidden="1" customHeight="1">
      <c r="A401" s="106"/>
      <c r="B401" s="106"/>
      <c r="C401" s="106"/>
      <c r="D401" s="106"/>
      <c r="E401" s="106"/>
      <c r="F401" s="106"/>
      <c r="G401" s="106"/>
      <c r="H401" s="106"/>
      <c r="I401" s="106"/>
      <c r="J401" s="106"/>
      <c r="K401" s="106"/>
      <c r="L401" s="106"/>
      <c r="M401" s="106"/>
      <c r="N401" s="106"/>
      <c r="O401" s="106"/>
      <c r="P401" s="106"/>
      <c r="Q401" s="106"/>
      <c r="R401" s="106"/>
      <c r="S401" s="106"/>
      <c r="T401" s="106"/>
      <c r="U401" s="106"/>
      <c r="V401" s="106"/>
      <c r="W401" s="106"/>
      <c r="X401" s="106"/>
      <c r="Y401" s="106"/>
      <c r="Z401" s="106"/>
      <c r="AA401" s="106"/>
      <c r="AB401" s="106"/>
      <c r="AC401" s="106"/>
      <c r="AD401" s="106"/>
      <c r="AE401" s="106"/>
      <c r="AF401" s="106"/>
      <c r="AG401" s="106"/>
      <c r="AH401" s="106"/>
      <c r="AI401" s="106"/>
      <c r="AJ401" s="106"/>
    </row>
    <row r="402" spans="1:36" s="6" customFormat="1" ht="15" hidden="1" customHeight="1">
      <c r="A402" s="106"/>
      <c r="B402" s="106"/>
      <c r="C402" s="106"/>
      <c r="D402" s="106"/>
      <c r="E402" s="106"/>
      <c r="F402" s="106"/>
      <c r="G402" s="106"/>
      <c r="H402" s="106"/>
      <c r="I402" s="106"/>
      <c r="J402" s="106"/>
      <c r="K402" s="106"/>
      <c r="L402" s="106"/>
      <c r="M402" s="106"/>
      <c r="N402" s="106"/>
      <c r="O402" s="106"/>
      <c r="P402" s="106"/>
      <c r="Q402" s="106"/>
      <c r="R402" s="106"/>
      <c r="S402" s="106"/>
      <c r="T402" s="106"/>
      <c r="U402" s="106"/>
      <c r="V402" s="106"/>
      <c r="W402" s="106"/>
      <c r="X402" s="106"/>
      <c r="Y402" s="106"/>
      <c r="Z402" s="106"/>
      <c r="AA402" s="106"/>
      <c r="AB402" s="106"/>
      <c r="AC402" s="106"/>
      <c r="AD402" s="106"/>
      <c r="AE402" s="106"/>
      <c r="AF402" s="106"/>
      <c r="AG402" s="106"/>
      <c r="AH402" s="106"/>
      <c r="AI402" s="106"/>
      <c r="AJ402" s="106"/>
    </row>
    <row r="405" spans="1:36" s="6" customFormat="1" ht="15" hidden="1" customHeight="1">
      <c r="A405" s="106"/>
      <c r="B405" s="106"/>
      <c r="C405" s="106"/>
      <c r="D405" s="106"/>
      <c r="E405" s="106"/>
      <c r="F405" s="106"/>
      <c r="G405" s="106"/>
      <c r="H405" s="106"/>
      <c r="I405" s="106"/>
      <c r="J405" s="106"/>
      <c r="K405" s="106"/>
      <c r="L405" s="106"/>
      <c r="M405" s="106"/>
      <c r="N405" s="106"/>
      <c r="O405" s="106"/>
      <c r="P405" s="106"/>
      <c r="Q405" s="106"/>
      <c r="R405" s="106"/>
      <c r="S405" s="106"/>
      <c r="T405" s="106"/>
      <c r="U405" s="106"/>
      <c r="V405" s="106"/>
      <c r="W405" s="106"/>
      <c r="X405" s="106"/>
      <c r="Y405" s="106"/>
      <c r="Z405" s="106"/>
      <c r="AA405" s="106"/>
      <c r="AB405" s="106"/>
      <c r="AC405" s="106"/>
      <c r="AD405" s="106"/>
      <c r="AE405" s="106"/>
      <c r="AF405" s="106"/>
      <c r="AG405" s="106"/>
      <c r="AH405" s="106"/>
      <c r="AI405" s="106"/>
      <c r="AJ405" s="106"/>
    </row>
    <row r="406" spans="1:36" s="6" customFormat="1" ht="15" hidden="1" customHeight="1">
      <c r="A406" s="106"/>
      <c r="B406" s="106"/>
      <c r="C406" s="106"/>
      <c r="D406" s="106"/>
      <c r="E406" s="106"/>
      <c r="F406" s="106"/>
      <c r="G406" s="106"/>
      <c r="H406" s="106"/>
      <c r="I406" s="106"/>
      <c r="J406" s="106"/>
      <c r="K406" s="106"/>
      <c r="L406" s="106"/>
      <c r="M406" s="106"/>
      <c r="N406" s="106"/>
      <c r="O406" s="106"/>
      <c r="P406" s="106"/>
      <c r="Q406" s="106"/>
      <c r="R406" s="106"/>
      <c r="S406" s="106"/>
      <c r="T406" s="106"/>
      <c r="U406" s="106"/>
      <c r="V406" s="106"/>
      <c r="W406" s="106"/>
      <c r="X406" s="106"/>
      <c r="Y406" s="106"/>
      <c r="Z406" s="106"/>
      <c r="AA406" s="106"/>
      <c r="AB406" s="106"/>
      <c r="AC406" s="106"/>
      <c r="AD406" s="106"/>
      <c r="AE406" s="106"/>
      <c r="AF406" s="106"/>
      <c r="AG406" s="106"/>
      <c r="AH406" s="106"/>
      <c r="AI406" s="106"/>
      <c r="AJ406" s="106"/>
    </row>
    <row r="407" spans="1:36" s="6" customFormat="1" ht="15" hidden="1" customHeight="1">
      <c r="A407" s="106"/>
      <c r="B407" s="106"/>
      <c r="C407" s="106"/>
      <c r="D407" s="106"/>
      <c r="E407" s="106"/>
      <c r="F407" s="106"/>
      <c r="G407" s="106"/>
      <c r="H407" s="106"/>
      <c r="I407" s="106"/>
      <c r="J407" s="106"/>
      <c r="K407" s="106"/>
      <c r="L407" s="106"/>
      <c r="M407" s="106"/>
      <c r="N407" s="106"/>
      <c r="O407" s="106"/>
      <c r="P407" s="106"/>
      <c r="Q407" s="106"/>
      <c r="R407" s="106"/>
      <c r="S407" s="106"/>
      <c r="T407" s="106"/>
      <c r="U407" s="106"/>
      <c r="V407" s="106"/>
      <c r="W407" s="106"/>
      <c r="X407" s="106"/>
      <c r="Y407" s="106"/>
      <c r="Z407" s="106"/>
      <c r="AA407" s="106"/>
      <c r="AB407" s="106"/>
      <c r="AC407" s="106"/>
      <c r="AD407" s="106"/>
      <c r="AE407" s="106"/>
      <c r="AF407" s="106"/>
      <c r="AG407" s="106"/>
      <c r="AH407" s="106"/>
      <c r="AI407" s="106"/>
      <c r="AJ407" s="106"/>
    </row>
    <row r="408" spans="1:36" s="6" customFormat="1" ht="15" hidden="1" customHeight="1">
      <c r="A408" s="106"/>
      <c r="B408" s="106"/>
      <c r="C408" s="106"/>
      <c r="D408" s="106"/>
      <c r="E408" s="106"/>
      <c r="F408" s="106"/>
      <c r="G408" s="106"/>
      <c r="H408" s="106"/>
      <c r="I408" s="106"/>
      <c r="J408" s="106"/>
      <c r="K408" s="106"/>
      <c r="L408" s="106"/>
      <c r="M408" s="106"/>
      <c r="N408" s="106"/>
      <c r="O408" s="106"/>
      <c r="P408" s="106"/>
      <c r="Q408" s="106"/>
      <c r="R408" s="106"/>
      <c r="S408" s="106"/>
      <c r="T408" s="106"/>
      <c r="U408" s="106"/>
      <c r="V408" s="106"/>
      <c r="W408" s="106"/>
      <c r="X408" s="106"/>
      <c r="Y408" s="106"/>
      <c r="Z408" s="106"/>
      <c r="AA408" s="106"/>
      <c r="AB408" s="106"/>
      <c r="AC408" s="106"/>
      <c r="AD408" s="106"/>
      <c r="AE408" s="106"/>
      <c r="AF408" s="106"/>
      <c r="AG408" s="106"/>
      <c r="AH408" s="106"/>
      <c r="AI408" s="106"/>
      <c r="AJ408" s="106"/>
    </row>
    <row r="409" spans="1:36" s="6" customFormat="1" ht="15" hidden="1" customHeight="1">
      <c r="A409" s="106"/>
      <c r="B409" s="106"/>
      <c r="C409" s="106"/>
      <c r="D409" s="106"/>
      <c r="E409" s="106"/>
      <c r="F409" s="106"/>
      <c r="G409" s="106"/>
      <c r="H409" s="106"/>
      <c r="I409" s="106"/>
      <c r="J409" s="106"/>
      <c r="K409" s="106"/>
      <c r="L409" s="106"/>
      <c r="M409" s="106"/>
      <c r="N409" s="106"/>
      <c r="O409" s="106"/>
      <c r="P409" s="106"/>
      <c r="Q409" s="106"/>
      <c r="R409" s="106"/>
      <c r="S409" s="106"/>
      <c r="T409" s="106"/>
      <c r="U409" s="106"/>
      <c r="V409" s="106"/>
      <c r="W409" s="106"/>
      <c r="X409" s="106"/>
      <c r="Y409" s="106"/>
      <c r="Z409" s="106"/>
      <c r="AA409" s="106"/>
      <c r="AB409" s="106"/>
      <c r="AC409" s="106"/>
      <c r="AD409" s="106"/>
      <c r="AE409" s="106"/>
      <c r="AF409" s="106"/>
      <c r="AG409" s="106"/>
      <c r="AH409" s="106"/>
      <c r="AI409" s="106"/>
      <c r="AJ409" s="106"/>
    </row>
    <row r="412" spans="1:36" s="6" customFormat="1" ht="15" hidden="1" customHeight="1">
      <c r="A412" s="106"/>
      <c r="B412" s="106"/>
      <c r="C412" s="106"/>
      <c r="D412" s="106"/>
      <c r="E412" s="106"/>
      <c r="F412" s="106"/>
      <c r="G412" s="106"/>
      <c r="H412" s="106"/>
      <c r="I412" s="106"/>
      <c r="J412" s="106"/>
      <c r="K412" s="106"/>
      <c r="L412" s="106"/>
      <c r="M412" s="106"/>
      <c r="N412" s="106"/>
      <c r="O412" s="106"/>
      <c r="P412" s="106"/>
      <c r="Q412" s="106"/>
      <c r="R412" s="106"/>
      <c r="S412" s="106"/>
      <c r="T412" s="106"/>
      <c r="U412" s="106"/>
      <c r="V412" s="106"/>
      <c r="W412" s="106"/>
      <c r="X412" s="106"/>
      <c r="Y412" s="106"/>
      <c r="Z412" s="106"/>
      <c r="AA412" s="106"/>
      <c r="AB412" s="106"/>
      <c r="AC412" s="106"/>
      <c r="AD412" s="106"/>
      <c r="AE412" s="106"/>
      <c r="AF412" s="106"/>
      <c r="AG412" s="106"/>
      <c r="AH412" s="106"/>
      <c r="AI412" s="106"/>
      <c r="AJ412" s="106"/>
    </row>
    <row r="413" spans="1:36" s="6" customFormat="1" ht="15" hidden="1" customHeight="1">
      <c r="A413" s="106"/>
      <c r="B413" s="106"/>
      <c r="C413" s="106"/>
      <c r="D413" s="106"/>
      <c r="E413" s="106"/>
      <c r="F413" s="106"/>
      <c r="G413" s="106"/>
      <c r="H413" s="106"/>
      <c r="I413" s="106"/>
      <c r="J413" s="106"/>
      <c r="K413" s="106"/>
      <c r="L413" s="106"/>
      <c r="M413" s="106"/>
      <c r="N413" s="106"/>
      <c r="O413" s="106"/>
      <c r="P413" s="106"/>
      <c r="Q413" s="106"/>
      <c r="R413" s="106"/>
      <c r="S413" s="106"/>
      <c r="T413" s="106"/>
      <c r="U413" s="106"/>
      <c r="V413" s="106"/>
      <c r="W413" s="106"/>
      <c r="X413" s="106"/>
      <c r="Y413" s="106"/>
      <c r="Z413" s="106"/>
      <c r="AA413" s="106"/>
      <c r="AB413" s="106"/>
      <c r="AC413" s="106"/>
      <c r="AD413" s="106"/>
      <c r="AE413" s="106"/>
      <c r="AF413" s="106"/>
      <c r="AG413" s="106"/>
      <c r="AH413" s="106"/>
      <c r="AI413" s="106"/>
      <c r="AJ413" s="106"/>
    </row>
    <row r="414" spans="1:36" s="6" customFormat="1" ht="15" hidden="1" customHeight="1">
      <c r="A414" s="106"/>
      <c r="B414" s="106"/>
      <c r="C414" s="106"/>
      <c r="D414" s="106"/>
      <c r="E414" s="106"/>
      <c r="F414" s="106"/>
      <c r="G414" s="106"/>
      <c r="H414" s="106"/>
      <c r="I414" s="106"/>
      <c r="J414" s="106"/>
      <c r="K414" s="106"/>
      <c r="L414" s="106"/>
      <c r="M414" s="106"/>
      <c r="N414" s="106"/>
      <c r="O414" s="106"/>
      <c r="P414" s="106"/>
      <c r="Q414" s="106"/>
      <c r="R414" s="106"/>
      <c r="S414" s="106"/>
      <c r="T414" s="106"/>
      <c r="U414" s="106"/>
      <c r="V414" s="106"/>
      <c r="W414" s="106"/>
      <c r="X414" s="106"/>
      <c r="Y414" s="106"/>
      <c r="Z414" s="106"/>
      <c r="AA414" s="106"/>
      <c r="AB414" s="106"/>
      <c r="AC414" s="106"/>
      <c r="AD414" s="106"/>
      <c r="AE414" s="106"/>
      <c r="AF414" s="106"/>
      <c r="AG414" s="106"/>
      <c r="AH414" s="106"/>
      <c r="AI414" s="106"/>
      <c r="AJ414" s="106"/>
    </row>
    <row r="415" spans="1:36" s="6" customFormat="1" ht="15" hidden="1" customHeight="1">
      <c r="A415" s="106"/>
      <c r="B415" s="106"/>
      <c r="C415" s="106"/>
      <c r="D415" s="106"/>
      <c r="E415" s="106"/>
      <c r="F415" s="106"/>
      <c r="G415" s="106"/>
      <c r="H415" s="106"/>
      <c r="I415" s="106"/>
      <c r="J415" s="106"/>
      <c r="K415" s="106"/>
      <c r="L415" s="106"/>
      <c r="M415" s="106"/>
      <c r="N415" s="106"/>
      <c r="O415" s="106"/>
      <c r="P415" s="106"/>
      <c r="Q415" s="106"/>
      <c r="R415" s="106"/>
      <c r="S415" s="106"/>
      <c r="T415" s="106"/>
      <c r="U415" s="106"/>
      <c r="V415" s="106"/>
      <c r="W415" s="106"/>
      <c r="X415" s="106"/>
      <c r="Y415" s="106"/>
      <c r="Z415" s="106"/>
      <c r="AA415" s="106"/>
      <c r="AB415" s="106"/>
      <c r="AC415" s="106"/>
      <c r="AD415" s="106"/>
      <c r="AE415" s="106"/>
      <c r="AF415" s="106"/>
      <c r="AG415" s="106"/>
      <c r="AH415" s="106"/>
      <c r="AI415" s="106"/>
      <c r="AJ415" s="106"/>
    </row>
    <row r="416" spans="1:36" s="6" customFormat="1" ht="15" hidden="1" customHeight="1">
      <c r="A416" s="106"/>
      <c r="B416" s="106"/>
      <c r="C416" s="106"/>
      <c r="D416" s="106"/>
      <c r="E416" s="106"/>
      <c r="F416" s="106"/>
      <c r="G416" s="106"/>
      <c r="H416" s="106"/>
      <c r="I416" s="106"/>
      <c r="J416" s="106"/>
      <c r="K416" s="106"/>
      <c r="L416" s="106"/>
      <c r="M416" s="106"/>
      <c r="N416" s="106"/>
      <c r="O416" s="106"/>
      <c r="P416" s="106"/>
      <c r="Q416" s="106"/>
      <c r="R416" s="106"/>
      <c r="S416" s="106"/>
      <c r="T416" s="106"/>
      <c r="U416" s="106"/>
      <c r="V416" s="106"/>
      <c r="W416" s="106"/>
      <c r="X416" s="106"/>
      <c r="Y416" s="106"/>
      <c r="Z416" s="106"/>
      <c r="AA416" s="106"/>
      <c r="AB416" s="106"/>
      <c r="AC416" s="106"/>
      <c r="AD416" s="106"/>
      <c r="AE416" s="106"/>
      <c r="AF416" s="106"/>
      <c r="AG416" s="106"/>
      <c r="AH416" s="106"/>
      <c r="AI416" s="106"/>
      <c r="AJ416" s="106"/>
    </row>
    <row r="417" spans="1:36" s="6" customFormat="1" ht="15" hidden="1" customHeight="1">
      <c r="A417" s="106"/>
      <c r="B417" s="106"/>
      <c r="C417" s="106"/>
      <c r="D417" s="106"/>
      <c r="E417" s="106"/>
      <c r="F417" s="106"/>
      <c r="G417" s="106"/>
      <c r="H417" s="106"/>
      <c r="I417" s="106"/>
      <c r="J417" s="106"/>
      <c r="K417" s="106"/>
      <c r="L417" s="106"/>
      <c r="M417" s="106"/>
      <c r="N417" s="106"/>
      <c r="O417" s="106"/>
      <c r="P417" s="106"/>
      <c r="Q417" s="106"/>
      <c r="R417" s="106"/>
      <c r="S417" s="106"/>
      <c r="T417" s="106"/>
      <c r="U417" s="106"/>
      <c r="V417" s="106"/>
      <c r="W417" s="106"/>
      <c r="X417" s="106"/>
      <c r="Y417" s="106"/>
      <c r="Z417" s="106"/>
      <c r="AA417" s="106"/>
      <c r="AB417" s="106"/>
      <c r="AC417" s="106"/>
      <c r="AD417" s="106"/>
      <c r="AE417" s="106"/>
      <c r="AF417" s="106"/>
      <c r="AG417" s="106"/>
      <c r="AH417" s="106"/>
      <c r="AI417" s="106"/>
      <c r="AJ417" s="106"/>
    </row>
    <row r="421" spans="1:36" s="6" customFormat="1" ht="15" hidden="1" customHeight="1">
      <c r="A421" s="106"/>
      <c r="B421" s="106"/>
      <c r="C421" s="106"/>
      <c r="D421" s="106"/>
      <c r="E421" s="106"/>
      <c r="F421" s="106"/>
      <c r="G421" s="106"/>
      <c r="H421" s="106"/>
      <c r="I421" s="106"/>
      <c r="J421" s="106"/>
      <c r="K421" s="106"/>
      <c r="L421" s="106"/>
      <c r="M421" s="106"/>
      <c r="N421" s="106"/>
      <c r="O421" s="106"/>
      <c r="P421" s="106"/>
      <c r="Q421" s="106"/>
      <c r="R421" s="106"/>
      <c r="S421" s="106"/>
      <c r="T421" s="106"/>
      <c r="U421" s="106"/>
      <c r="V421" s="106"/>
      <c r="W421" s="106"/>
      <c r="X421" s="106"/>
      <c r="Y421" s="106"/>
      <c r="Z421" s="106"/>
      <c r="AA421" s="106"/>
      <c r="AB421" s="106"/>
      <c r="AC421" s="106"/>
      <c r="AD421" s="106"/>
      <c r="AE421" s="106"/>
      <c r="AF421" s="106"/>
      <c r="AG421" s="106"/>
      <c r="AH421" s="106"/>
      <c r="AI421" s="106"/>
      <c r="AJ421" s="106"/>
    </row>
    <row r="422" spans="1:36" s="6" customFormat="1" ht="15" hidden="1" customHeight="1">
      <c r="A422" s="106"/>
      <c r="B422" s="106"/>
      <c r="C422" s="106"/>
      <c r="D422" s="106"/>
      <c r="E422" s="106"/>
      <c r="F422" s="106"/>
      <c r="G422" s="106"/>
      <c r="H422" s="106"/>
      <c r="I422" s="106"/>
      <c r="J422" s="106"/>
      <c r="K422" s="106"/>
      <c r="L422" s="106"/>
      <c r="M422" s="106"/>
      <c r="N422" s="106"/>
      <c r="O422" s="106"/>
      <c r="P422" s="106"/>
      <c r="Q422" s="106"/>
      <c r="R422" s="106"/>
      <c r="S422" s="106"/>
      <c r="T422" s="106"/>
      <c r="U422" s="106"/>
      <c r="V422" s="106"/>
      <c r="W422" s="106"/>
      <c r="X422" s="106"/>
      <c r="Y422" s="106"/>
      <c r="Z422" s="106"/>
      <c r="AA422" s="106"/>
      <c r="AB422" s="106"/>
      <c r="AC422" s="106"/>
      <c r="AD422" s="106"/>
      <c r="AE422" s="106"/>
      <c r="AF422" s="106"/>
      <c r="AG422" s="106"/>
      <c r="AH422" s="106"/>
      <c r="AI422" s="106"/>
      <c r="AJ422" s="106"/>
    </row>
    <row r="423" spans="1:36" s="6" customFormat="1" ht="15" hidden="1" customHeight="1">
      <c r="A423" s="106"/>
      <c r="B423" s="106"/>
      <c r="C423" s="106"/>
      <c r="D423" s="106"/>
      <c r="E423" s="106"/>
      <c r="F423" s="106"/>
      <c r="G423" s="106"/>
      <c r="H423" s="106"/>
      <c r="I423" s="106"/>
      <c r="J423" s="106"/>
      <c r="K423" s="106"/>
      <c r="L423" s="106"/>
      <c r="M423" s="106"/>
      <c r="N423" s="106"/>
      <c r="O423" s="106"/>
      <c r="P423" s="106"/>
      <c r="Q423" s="106"/>
      <c r="R423" s="106"/>
      <c r="S423" s="106"/>
      <c r="T423" s="106"/>
      <c r="U423" s="106"/>
      <c r="V423" s="106"/>
      <c r="W423" s="106"/>
      <c r="X423" s="106"/>
      <c r="Y423" s="106"/>
      <c r="Z423" s="106"/>
      <c r="AA423" s="106"/>
      <c r="AB423" s="106"/>
      <c r="AC423" s="106"/>
      <c r="AD423" s="106"/>
      <c r="AE423" s="106"/>
      <c r="AF423" s="106"/>
      <c r="AG423" s="106"/>
      <c r="AH423" s="106"/>
      <c r="AI423" s="106"/>
      <c r="AJ423" s="106"/>
    </row>
    <row r="424" spans="1:36" s="6" customFormat="1" ht="15" hidden="1" customHeight="1">
      <c r="A424" s="106"/>
      <c r="B424" s="106"/>
      <c r="C424" s="106"/>
      <c r="D424" s="106"/>
      <c r="E424" s="106"/>
      <c r="F424" s="106"/>
      <c r="G424" s="106"/>
      <c r="H424" s="106"/>
      <c r="I424" s="106"/>
      <c r="J424" s="106"/>
      <c r="K424" s="106"/>
      <c r="L424" s="106"/>
      <c r="M424" s="106"/>
      <c r="N424" s="106"/>
      <c r="O424" s="106"/>
      <c r="P424" s="106"/>
      <c r="Q424" s="106"/>
      <c r="R424" s="106"/>
      <c r="S424" s="106"/>
      <c r="T424" s="106"/>
      <c r="U424" s="106"/>
      <c r="V424" s="106"/>
      <c r="W424" s="106"/>
      <c r="X424" s="106"/>
      <c r="Y424" s="106"/>
      <c r="Z424" s="106"/>
      <c r="AA424" s="106"/>
      <c r="AB424" s="106"/>
      <c r="AC424" s="106"/>
      <c r="AD424" s="106"/>
      <c r="AE424" s="106"/>
      <c r="AF424" s="106"/>
      <c r="AG424" s="106"/>
      <c r="AH424" s="106"/>
      <c r="AI424" s="106"/>
      <c r="AJ424" s="106"/>
    </row>
    <row r="425" spans="1:36" s="6" customFormat="1" ht="15" hidden="1" customHeight="1">
      <c r="A425" s="106"/>
      <c r="B425" s="106"/>
      <c r="C425" s="106"/>
      <c r="D425" s="106"/>
      <c r="E425" s="106"/>
      <c r="F425" s="106"/>
      <c r="G425" s="106"/>
      <c r="H425" s="106"/>
      <c r="I425" s="106"/>
      <c r="J425" s="106"/>
      <c r="K425" s="106"/>
      <c r="L425" s="106"/>
      <c r="M425" s="106"/>
      <c r="N425" s="106"/>
      <c r="O425" s="106"/>
      <c r="P425" s="106"/>
      <c r="Q425" s="106"/>
      <c r="R425" s="106"/>
      <c r="S425" s="106"/>
      <c r="T425" s="106"/>
      <c r="U425" s="106"/>
      <c r="V425" s="106"/>
      <c r="W425" s="106"/>
      <c r="X425" s="106"/>
      <c r="Y425" s="106"/>
      <c r="Z425" s="106"/>
      <c r="AA425" s="106"/>
      <c r="AB425" s="106"/>
      <c r="AC425" s="106"/>
      <c r="AD425" s="106"/>
      <c r="AE425" s="106"/>
      <c r="AF425" s="106"/>
      <c r="AG425" s="106"/>
      <c r="AH425" s="106"/>
      <c r="AI425" s="106"/>
      <c r="AJ425" s="106"/>
    </row>
    <row r="426" spans="1:36" s="6" customFormat="1" ht="15" hidden="1" customHeight="1">
      <c r="A426" s="106"/>
      <c r="B426" s="106"/>
      <c r="C426" s="106"/>
      <c r="D426" s="106"/>
      <c r="E426" s="106"/>
      <c r="F426" s="106"/>
      <c r="G426" s="106"/>
      <c r="H426" s="106"/>
      <c r="I426" s="106"/>
      <c r="J426" s="106"/>
      <c r="K426" s="106"/>
      <c r="L426" s="106"/>
      <c r="M426" s="106"/>
      <c r="N426" s="106"/>
      <c r="O426" s="106"/>
      <c r="P426" s="106"/>
      <c r="Q426" s="106"/>
      <c r="R426" s="106"/>
      <c r="S426" s="106"/>
      <c r="T426" s="106"/>
      <c r="U426" s="106"/>
      <c r="V426" s="106"/>
      <c r="W426" s="106"/>
      <c r="X426" s="106"/>
      <c r="Y426" s="106"/>
      <c r="Z426" s="106"/>
      <c r="AA426" s="106"/>
      <c r="AB426" s="106"/>
      <c r="AC426" s="106"/>
      <c r="AD426" s="106"/>
      <c r="AE426" s="106"/>
      <c r="AF426" s="106"/>
      <c r="AG426" s="106"/>
      <c r="AH426" s="106"/>
      <c r="AI426" s="106"/>
      <c r="AJ426" s="106"/>
    </row>
    <row r="427" spans="1:36" s="6" customFormat="1" ht="15" hidden="1" customHeight="1">
      <c r="A427" s="106"/>
      <c r="B427" s="106"/>
      <c r="C427" s="106"/>
      <c r="D427" s="106"/>
      <c r="E427" s="106"/>
      <c r="F427" s="106"/>
      <c r="G427" s="106"/>
      <c r="H427" s="106"/>
      <c r="I427" s="106"/>
      <c r="J427" s="106"/>
      <c r="K427" s="106"/>
      <c r="L427" s="106"/>
      <c r="M427" s="106"/>
      <c r="N427" s="106"/>
      <c r="O427" s="106"/>
      <c r="P427" s="106"/>
      <c r="Q427" s="106"/>
      <c r="R427" s="106"/>
      <c r="S427" s="106"/>
      <c r="T427" s="106"/>
      <c r="U427" s="106"/>
      <c r="V427" s="106"/>
      <c r="W427" s="106"/>
      <c r="X427" s="106"/>
      <c r="Y427" s="106"/>
      <c r="Z427" s="106"/>
      <c r="AA427" s="106"/>
      <c r="AB427" s="106"/>
      <c r="AC427" s="106"/>
      <c r="AD427" s="106"/>
      <c r="AE427" s="106"/>
      <c r="AF427" s="106"/>
      <c r="AG427" s="106"/>
      <c r="AH427" s="106"/>
      <c r="AI427" s="106"/>
      <c r="AJ427" s="106"/>
    </row>
    <row r="428" spans="1:36" s="6" customFormat="1" ht="15" hidden="1" customHeight="1">
      <c r="A428" s="106"/>
      <c r="B428" s="106"/>
      <c r="C428" s="106"/>
      <c r="D428" s="106"/>
      <c r="E428" s="106"/>
      <c r="F428" s="106"/>
      <c r="G428" s="106"/>
      <c r="H428" s="106"/>
      <c r="I428" s="106"/>
      <c r="J428" s="106"/>
      <c r="K428" s="106"/>
      <c r="L428" s="106"/>
      <c r="M428" s="106"/>
      <c r="N428" s="106"/>
      <c r="O428" s="106"/>
      <c r="P428" s="106"/>
      <c r="Q428" s="106"/>
      <c r="R428" s="106"/>
      <c r="S428" s="106"/>
      <c r="T428" s="106"/>
      <c r="U428" s="106"/>
      <c r="V428" s="106"/>
      <c r="W428" s="106"/>
      <c r="X428" s="106"/>
      <c r="Y428" s="106"/>
      <c r="Z428" s="106"/>
      <c r="AA428" s="106"/>
      <c r="AB428" s="106"/>
      <c r="AC428" s="106"/>
      <c r="AD428" s="106"/>
      <c r="AE428" s="106"/>
      <c r="AF428" s="106"/>
      <c r="AG428" s="106"/>
      <c r="AH428" s="106"/>
      <c r="AI428" s="106"/>
      <c r="AJ428" s="106"/>
    </row>
    <row r="429" spans="1:36" s="6" customFormat="1" ht="15" hidden="1" customHeight="1">
      <c r="A429" s="106"/>
      <c r="B429" s="106"/>
      <c r="C429" s="106"/>
      <c r="D429" s="106"/>
      <c r="E429" s="106"/>
      <c r="F429" s="106"/>
      <c r="G429" s="106"/>
      <c r="H429" s="106"/>
      <c r="I429" s="106"/>
      <c r="J429" s="106"/>
      <c r="K429" s="106"/>
      <c r="L429" s="106"/>
      <c r="M429" s="106"/>
      <c r="N429" s="106"/>
      <c r="O429" s="106"/>
      <c r="P429" s="106"/>
      <c r="Q429" s="106"/>
      <c r="R429" s="106"/>
      <c r="S429" s="106"/>
      <c r="T429" s="106"/>
      <c r="U429" s="106"/>
      <c r="V429" s="106"/>
      <c r="W429" s="106"/>
      <c r="X429" s="106"/>
      <c r="Y429" s="106"/>
      <c r="Z429" s="106"/>
      <c r="AA429" s="106"/>
      <c r="AB429" s="106"/>
      <c r="AC429" s="106"/>
      <c r="AD429" s="106"/>
      <c r="AE429" s="106"/>
      <c r="AF429" s="106"/>
      <c r="AG429" s="106"/>
      <c r="AH429" s="106"/>
      <c r="AI429" s="106"/>
      <c r="AJ429" s="106"/>
    </row>
    <row r="430" spans="1:36" s="6" customFormat="1" ht="15" hidden="1" customHeight="1">
      <c r="A430" s="106"/>
      <c r="B430" s="106"/>
      <c r="C430" s="106"/>
      <c r="D430" s="106"/>
      <c r="E430" s="106"/>
      <c r="F430" s="106"/>
      <c r="G430" s="106"/>
      <c r="H430" s="106"/>
      <c r="I430" s="106"/>
      <c r="J430" s="106"/>
      <c r="K430" s="106"/>
      <c r="L430" s="106"/>
      <c r="M430" s="106"/>
      <c r="N430" s="106"/>
      <c r="O430" s="106"/>
      <c r="P430" s="106"/>
      <c r="Q430" s="106"/>
      <c r="R430" s="106"/>
      <c r="S430" s="106"/>
      <c r="T430" s="106"/>
      <c r="U430" s="106"/>
      <c r="V430" s="106"/>
      <c r="W430" s="106"/>
      <c r="X430" s="106"/>
      <c r="Y430" s="106"/>
      <c r="Z430" s="106"/>
      <c r="AA430" s="106"/>
      <c r="AB430" s="106"/>
      <c r="AC430" s="106"/>
      <c r="AD430" s="106"/>
      <c r="AE430" s="106"/>
      <c r="AF430" s="106"/>
      <c r="AG430" s="106"/>
      <c r="AH430" s="106"/>
      <c r="AI430" s="106"/>
      <c r="AJ430" s="106"/>
    </row>
    <row r="431" spans="1:36" s="6" customFormat="1" ht="15" hidden="1" customHeight="1">
      <c r="A431" s="106"/>
      <c r="B431" s="106"/>
      <c r="C431" s="106"/>
      <c r="D431" s="106"/>
      <c r="E431" s="106"/>
      <c r="F431" s="106"/>
      <c r="G431" s="106"/>
      <c r="H431" s="106"/>
      <c r="I431" s="106"/>
      <c r="J431" s="106"/>
      <c r="K431" s="106"/>
      <c r="L431" s="106"/>
      <c r="M431" s="106"/>
      <c r="N431" s="106"/>
      <c r="O431" s="106"/>
      <c r="P431" s="106"/>
      <c r="Q431" s="106"/>
      <c r="R431" s="106"/>
      <c r="S431" s="106"/>
      <c r="T431" s="106"/>
      <c r="U431" s="106"/>
      <c r="V431" s="106"/>
      <c r="W431" s="106"/>
      <c r="X431" s="106"/>
      <c r="Y431" s="106"/>
      <c r="Z431" s="106"/>
      <c r="AA431" s="106"/>
      <c r="AB431" s="106"/>
      <c r="AC431" s="106"/>
      <c r="AD431" s="106"/>
      <c r="AE431" s="106"/>
      <c r="AF431" s="106"/>
      <c r="AG431" s="106"/>
      <c r="AH431" s="106"/>
      <c r="AI431" s="106"/>
      <c r="AJ431" s="106"/>
    </row>
    <row r="432" spans="1:36" s="6" customFormat="1" ht="15" hidden="1" customHeight="1">
      <c r="A432" s="106"/>
      <c r="B432" s="106"/>
      <c r="C432" s="106"/>
      <c r="D432" s="106"/>
      <c r="E432" s="106"/>
      <c r="F432" s="106"/>
      <c r="G432" s="106"/>
      <c r="H432" s="106"/>
      <c r="I432" s="106"/>
      <c r="J432" s="106"/>
      <c r="K432" s="106"/>
      <c r="L432" s="106"/>
      <c r="M432" s="106"/>
      <c r="N432" s="106"/>
      <c r="O432" s="106"/>
      <c r="P432" s="106"/>
      <c r="Q432" s="106"/>
      <c r="R432" s="106"/>
      <c r="S432" s="106"/>
      <c r="T432" s="106"/>
      <c r="U432" s="106"/>
      <c r="V432" s="106"/>
      <c r="W432" s="106"/>
      <c r="X432" s="106"/>
      <c r="Y432" s="106"/>
      <c r="Z432" s="106"/>
      <c r="AA432" s="106"/>
      <c r="AB432" s="106"/>
      <c r="AC432" s="106"/>
      <c r="AD432" s="106"/>
      <c r="AE432" s="106"/>
      <c r="AF432" s="106"/>
      <c r="AG432" s="106"/>
      <c r="AH432" s="106"/>
      <c r="AI432" s="106"/>
      <c r="AJ432" s="106"/>
    </row>
    <row r="433" spans="1:36" s="6" customFormat="1" ht="15" hidden="1" customHeight="1">
      <c r="A433" s="106"/>
      <c r="B433" s="106"/>
      <c r="C433" s="106"/>
      <c r="D433" s="106"/>
      <c r="E433" s="106"/>
      <c r="F433" s="106"/>
      <c r="G433" s="106"/>
      <c r="H433" s="106"/>
      <c r="I433" s="106"/>
      <c r="J433" s="106"/>
      <c r="K433" s="106"/>
      <c r="L433" s="106"/>
      <c r="M433" s="106"/>
      <c r="N433" s="106"/>
      <c r="O433" s="106"/>
      <c r="P433" s="106"/>
      <c r="Q433" s="106"/>
      <c r="R433" s="106"/>
      <c r="S433" s="106"/>
      <c r="T433" s="106"/>
      <c r="U433" s="106"/>
      <c r="V433" s="106"/>
      <c r="W433" s="106"/>
      <c r="X433" s="106"/>
      <c r="Y433" s="106"/>
      <c r="Z433" s="106"/>
      <c r="AA433" s="106"/>
      <c r="AB433" s="106"/>
      <c r="AC433" s="106"/>
      <c r="AD433" s="106"/>
      <c r="AE433" s="106"/>
      <c r="AF433" s="106"/>
      <c r="AG433" s="106"/>
      <c r="AH433" s="106"/>
      <c r="AI433" s="106"/>
      <c r="AJ433" s="106"/>
    </row>
    <row r="434" spans="1:36" s="6" customFormat="1" ht="15" hidden="1" customHeight="1">
      <c r="A434" s="106"/>
      <c r="B434" s="106"/>
      <c r="C434" s="106"/>
      <c r="D434" s="106"/>
      <c r="E434" s="106"/>
      <c r="F434" s="106"/>
      <c r="G434" s="106"/>
      <c r="H434" s="106"/>
      <c r="I434" s="106"/>
      <c r="J434" s="106"/>
      <c r="K434" s="106"/>
      <c r="L434" s="106"/>
      <c r="M434" s="106"/>
      <c r="N434" s="106"/>
      <c r="O434" s="106"/>
      <c r="P434" s="106"/>
      <c r="Q434" s="106"/>
      <c r="R434" s="106"/>
      <c r="S434" s="106"/>
      <c r="T434" s="106"/>
      <c r="U434" s="106"/>
      <c r="V434" s="106"/>
      <c r="W434" s="106"/>
      <c r="X434" s="106"/>
      <c r="Y434" s="106"/>
      <c r="Z434" s="106"/>
      <c r="AA434" s="106"/>
      <c r="AB434" s="106"/>
      <c r="AC434" s="106"/>
      <c r="AD434" s="106"/>
      <c r="AE434" s="106"/>
      <c r="AF434" s="106"/>
      <c r="AG434" s="106"/>
      <c r="AH434" s="106"/>
      <c r="AI434" s="106"/>
      <c r="AJ434" s="106"/>
    </row>
    <row r="435" spans="1:36" s="6" customFormat="1" ht="15" hidden="1" customHeight="1">
      <c r="A435" s="106"/>
      <c r="B435" s="106"/>
      <c r="C435" s="106"/>
      <c r="D435" s="106"/>
      <c r="E435" s="106"/>
      <c r="F435" s="106"/>
      <c r="G435" s="106"/>
      <c r="H435" s="106"/>
      <c r="I435" s="106"/>
      <c r="J435" s="106"/>
      <c r="K435" s="106"/>
      <c r="L435" s="106"/>
      <c r="M435" s="106"/>
      <c r="N435" s="106"/>
      <c r="O435" s="106"/>
      <c r="P435" s="106"/>
      <c r="Q435" s="106"/>
      <c r="R435" s="106"/>
      <c r="S435" s="106"/>
      <c r="T435" s="106"/>
      <c r="U435" s="106"/>
      <c r="V435" s="106"/>
      <c r="W435" s="106"/>
      <c r="X435" s="106"/>
      <c r="Y435" s="106"/>
      <c r="Z435" s="106"/>
      <c r="AA435" s="106"/>
      <c r="AB435" s="106"/>
      <c r="AC435" s="106"/>
      <c r="AD435" s="106"/>
      <c r="AE435" s="106"/>
      <c r="AF435" s="106"/>
      <c r="AG435" s="106"/>
      <c r="AH435" s="106"/>
      <c r="AI435" s="106"/>
      <c r="AJ435" s="106"/>
    </row>
    <row r="436" spans="1:36" s="6" customFormat="1" ht="15" hidden="1" customHeight="1">
      <c r="A436" s="106"/>
      <c r="B436" s="106"/>
      <c r="C436" s="106"/>
      <c r="D436" s="106"/>
      <c r="E436" s="106"/>
      <c r="F436" s="106"/>
      <c r="G436" s="106"/>
      <c r="H436" s="106"/>
      <c r="I436" s="106"/>
      <c r="J436" s="106"/>
      <c r="K436" s="106"/>
      <c r="L436" s="106"/>
      <c r="M436" s="106"/>
      <c r="N436" s="106"/>
      <c r="O436" s="106"/>
      <c r="P436" s="106"/>
      <c r="Q436" s="106"/>
      <c r="R436" s="106"/>
      <c r="S436" s="106"/>
      <c r="T436" s="106"/>
      <c r="U436" s="106"/>
      <c r="V436" s="106"/>
      <c r="W436" s="106"/>
      <c r="X436" s="106"/>
      <c r="Y436" s="106"/>
      <c r="Z436" s="106"/>
      <c r="AA436" s="106"/>
      <c r="AB436" s="106"/>
      <c r="AC436" s="106"/>
      <c r="AD436" s="106"/>
      <c r="AE436" s="106"/>
      <c r="AF436" s="106"/>
      <c r="AG436" s="106"/>
      <c r="AH436" s="106"/>
      <c r="AI436" s="106"/>
      <c r="AJ436" s="106"/>
    </row>
    <row r="437" spans="1:36" s="6" customFormat="1" ht="15" hidden="1" customHeight="1">
      <c r="A437" s="106"/>
      <c r="B437" s="106"/>
      <c r="C437" s="106"/>
      <c r="D437" s="106"/>
      <c r="E437" s="106"/>
      <c r="F437" s="106"/>
      <c r="G437" s="106"/>
      <c r="H437" s="106"/>
      <c r="I437" s="106"/>
      <c r="J437" s="106"/>
      <c r="K437" s="106"/>
      <c r="L437" s="106"/>
      <c r="M437" s="106"/>
      <c r="N437" s="106"/>
      <c r="O437" s="106"/>
      <c r="P437" s="106"/>
      <c r="Q437" s="106"/>
      <c r="R437" s="106"/>
      <c r="S437" s="106"/>
      <c r="T437" s="106"/>
      <c r="U437" s="106"/>
      <c r="V437" s="106"/>
      <c r="W437" s="106"/>
      <c r="X437" s="106"/>
      <c r="Y437" s="106"/>
      <c r="Z437" s="106"/>
      <c r="AA437" s="106"/>
      <c r="AB437" s="106"/>
      <c r="AC437" s="106"/>
      <c r="AD437" s="106"/>
      <c r="AE437" s="106"/>
      <c r="AF437" s="106"/>
      <c r="AG437" s="106"/>
      <c r="AH437" s="106"/>
      <c r="AI437" s="106"/>
      <c r="AJ437" s="106"/>
    </row>
    <row r="438" spans="1:36" s="6" customFormat="1" ht="15" hidden="1" customHeight="1">
      <c r="A438" s="106"/>
      <c r="B438" s="106"/>
      <c r="C438" s="106"/>
      <c r="D438" s="106"/>
      <c r="E438" s="106"/>
      <c r="F438" s="106"/>
      <c r="G438" s="106"/>
      <c r="H438" s="106"/>
      <c r="I438" s="106"/>
      <c r="J438" s="106"/>
      <c r="K438" s="106"/>
      <c r="L438" s="106"/>
      <c r="M438" s="106"/>
      <c r="N438" s="106"/>
      <c r="O438" s="106"/>
      <c r="P438" s="106"/>
      <c r="Q438" s="106"/>
      <c r="R438" s="106"/>
      <c r="S438" s="106"/>
      <c r="T438" s="106"/>
      <c r="U438" s="106"/>
      <c r="V438" s="106"/>
      <c r="W438" s="106"/>
      <c r="X438" s="106"/>
      <c r="Y438" s="106"/>
      <c r="Z438" s="106"/>
      <c r="AA438" s="106"/>
      <c r="AB438" s="106"/>
      <c r="AC438" s="106"/>
      <c r="AD438" s="106"/>
      <c r="AE438" s="106"/>
      <c r="AF438" s="106"/>
      <c r="AG438" s="106"/>
      <c r="AH438" s="106"/>
      <c r="AI438" s="106"/>
      <c r="AJ438" s="106"/>
    </row>
    <row r="439" spans="1:36" s="6" customFormat="1" ht="15" hidden="1" customHeight="1">
      <c r="A439" s="106"/>
      <c r="B439" s="106"/>
      <c r="C439" s="106"/>
      <c r="D439" s="106"/>
      <c r="E439" s="106"/>
      <c r="F439" s="106"/>
      <c r="G439" s="106"/>
      <c r="H439" s="106"/>
      <c r="I439" s="106"/>
      <c r="J439" s="106"/>
      <c r="K439" s="106"/>
      <c r="L439" s="106"/>
      <c r="M439" s="106"/>
      <c r="N439" s="106"/>
      <c r="O439" s="106"/>
      <c r="P439" s="106"/>
      <c r="Q439" s="106"/>
      <c r="R439" s="106"/>
      <c r="S439" s="106"/>
      <c r="T439" s="106"/>
      <c r="U439" s="106"/>
      <c r="V439" s="106"/>
      <c r="W439" s="106"/>
      <c r="X439" s="106"/>
      <c r="Y439" s="106"/>
      <c r="Z439" s="106"/>
      <c r="AA439" s="106"/>
      <c r="AB439" s="106"/>
      <c r="AC439" s="106"/>
      <c r="AD439" s="106"/>
      <c r="AE439" s="106"/>
      <c r="AF439" s="106"/>
      <c r="AG439" s="106"/>
      <c r="AH439" s="106"/>
      <c r="AI439" s="106"/>
      <c r="AJ439" s="106"/>
    </row>
    <row r="440" spans="1:36" s="6" customFormat="1" ht="15" hidden="1" customHeight="1">
      <c r="A440" s="106"/>
      <c r="B440" s="106"/>
      <c r="C440" s="106"/>
      <c r="D440" s="106"/>
      <c r="E440" s="106"/>
      <c r="F440" s="106"/>
      <c r="G440" s="106"/>
      <c r="H440" s="106"/>
      <c r="I440" s="106"/>
      <c r="J440" s="106"/>
      <c r="K440" s="106"/>
      <c r="L440" s="106"/>
      <c r="M440" s="106"/>
      <c r="N440" s="106"/>
      <c r="O440" s="106"/>
      <c r="P440" s="106"/>
      <c r="Q440" s="106"/>
      <c r="R440" s="106"/>
      <c r="S440" s="106"/>
      <c r="T440" s="106"/>
      <c r="U440" s="106"/>
      <c r="V440" s="106"/>
      <c r="W440" s="106"/>
      <c r="X440" s="106"/>
      <c r="Y440" s="106"/>
      <c r="Z440" s="106"/>
      <c r="AA440" s="106"/>
      <c r="AB440" s="106"/>
      <c r="AC440" s="106"/>
      <c r="AD440" s="106"/>
      <c r="AE440" s="106"/>
      <c r="AF440" s="106"/>
      <c r="AG440" s="106"/>
      <c r="AH440" s="106"/>
      <c r="AI440" s="106"/>
      <c r="AJ440" s="106"/>
    </row>
    <row r="441" spans="1:36" s="6" customFormat="1" ht="15" hidden="1" customHeight="1">
      <c r="A441" s="106"/>
      <c r="B441" s="106"/>
      <c r="C441" s="106"/>
      <c r="D441" s="106"/>
      <c r="E441" s="106"/>
      <c r="F441" s="106"/>
      <c r="G441" s="106"/>
      <c r="H441" s="106"/>
      <c r="I441" s="106"/>
      <c r="J441" s="106"/>
      <c r="K441" s="106"/>
      <c r="L441" s="106"/>
      <c r="M441" s="106"/>
      <c r="N441" s="106"/>
      <c r="O441" s="106"/>
      <c r="P441" s="106"/>
      <c r="Q441" s="106"/>
      <c r="R441" s="106"/>
      <c r="S441" s="106"/>
      <c r="T441" s="106"/>
      <c r="U441" s="106"/>
      <c r="V441" s="106"/>
      <c r="W441" s="106"/>
      <c r="X441" s="106"/>
      <c r="Y441" s="106"/>
      <c r="Z441" s="106"/>
      <c r="AA441" s="106"/>
      <c r="AB441" s="106"/>
      <c r="AC441" s="106"/>
      <c r="AD441" s="106"/>
      <c r="AE441" s="106"/>
      <c r="AF441" s="106"/>
      <c r="AG441" s="106"/>
      <c r="AH441" s="106"/>
      <c r="AI441" s="106"/>
      <c r="AJ441" s="106"/>
    </row>
    <row r="444" spans="1:36" hidden="1"/>
    <row r="445" spans="1:36" hidden="1"/>
    <row r="446" spans="1:36" hidden="1"/>
    <row r="447" spans="1:36" hidden="1"/>
    <row r="448" spans="1:36" hidden="1"/>
    <row r="449" spans="1:36" hidden="1"/>
    <row r="450" spans="1:36" ht="20.100000000000001" hidden="1" customHeight="1"/>
    <row r="451" spans="1:36" ht="20.100000000000001" hidden="1" customHeight="1"/>
    <row r="455" spans="1:36" s="6" customFormat="1" ht="15" hidden="1" customHeight="1">
      <c r="A455" s="106"/>
      <c r="B455" s="106"/>
      <c r="C455" s="106"/>
      <c r="D455" s="106"/>
      <c r="E455" s="106"/>
      <c r="F455" s="106"/>
      <c r="G455" s="106"/>
      <c r="H455" s="106"/>
      <c r="I455" s="106"/>
      <c r="J455" s="106"/>
      <c r="K455" s="106"/>
      <c r="L455" s="106"/>
      <c r="M455" s="106"/>
      <c r="N455" s="106"/>
      <c r="O455" s="106"/>
      <c r="P455" s="106"/>
      <c r="Q455" s="106"/>
      <c r="R455" s="106"/>
      <c r="S455" s="106"/>
      <c r="T455" s="106"/>
      <c r="U455" s="106"/>
      <c r="V455" s="106"/>
      <c r="W455" s="106"/>
      <c r="X455" s="106"/>
      <c r="Y455" s="106"/>
      <c r="Z455" s="106"/>
      <c r="AA455" s="106"/>
      <c r="AB455" s="106"/>
      <c r="AC455" s="106"/>
      <c r="AD455" s="106"/>
      <c r="AE455" s="106"/>
      <c r="AF455" s="106"/>
      <c r="AG455" s="106"/>
      <c r="AH455" s="106"/>
      <c r="AI455" s="106"/>
      <c r="AJ455" s="106"/>
    </row>
    <row r="456" spans="1:36" s="6" customFormat="1" ht="15" hidden="1" customHeight="1">
      <c r="A456" s="106"/>
      <c r="B456" s="106"/>
      <c r="C456" s="106"/>
      <c r="D456" s="106"/>
      <c r="E456" s="106"/>
      <c r="F456" s="106"/>
      <c r="G456" s="106"/>
      <c r="H456" s="106"/>
      <c r="I456" s="106"/>
      <c r="J456" s="106"/>
      <c r="K456" s="106"/>
      <c r="L456" s="106"/>
      <c r="M456" s="106"/>
      <c r="N456" s="106"/>
      <c r="O456" s="106"/>
      <c r="P456" s="106"/>
      <c r="Q456" s="106"/>
      <c r="R456" s="106"/>
      <c r="S456" s="106"/>
      <c r="T456" s="106"/>
      <c r="U456" s="106"/>
      <c r="V456" s="106"/>
      <c r="W456" s="106"/>
      <c r="X456" s="106"/>
      <c r="Y456" s="106"/>
      <c r="Z456" s="106"/>
      <c r="AA456" s="106"/>
      <c r="AB456" s="106"/>
      <c r="AC456" s="106"/>
      <c r="AD456" s="106"/>
      <c r="AE456" s="106"/>
      <c r="AF456" s="106"/>
      <c r="AG456" s="106"/>
      <c r="AH456" s="106"/>
      <c r="AI456" s="106"/>
      <c r="AJ456" s="106"/>
    </row>
    <row r="457" spans="1:36" s="6" customFormat="1" ht="15" hidden="1" customHeight="1">
      <c r="A457" s="106"/>
      <c r="B457" s="106"/>
      <c r="C457" s="106"/>
      <c r="D457" s="106"/>
      <c r="E457" s="106"/>
      <c r="F457" s="106"/>
      <c r="G457" s="106"/>
      <c r="H457" s="106"/>
      <c r="I457" s="106"/>
      <c r="J457" s="106"/>
      <c r="K457" s="106"/>
      <c r="L457" s="106"/>
      <c r="M457" s="106"/>
      <c r="N457" s="106"/>
      <c r="O457" s="106"/>
      <c r="P457" s="106"/>
      <c r="Q457" s="106"/>
      <c r="R457" s="106"/>
      <c r="S457" s="106"/>
      <c r="T457" s="106"/>
      <c r="U457" s="106"/>
      <c r="V457" s="106"/>
      <c r="W457" s="106"/>
      <c r="X457" s="106"/>
      <c r="Y457" s="106"/>
      <c r="Z457" s="106"/>
      <c r="AA457" s="106"/>
      <c r="AB457" s="106"/>
      <c r="AC457" s="106"/>
      <c r="AD457" s="106"/>
      <c r="AE457" s="106"/>
      <c r="AF457" s="106"/>
      <c r="AG457" s="106"/>
      <c r="AH457" s="106"/>
      <c r="AI457" s="106"/>
      <c r="AJ457" s="106"/>
    </row>
    <row r="458" spans="1:36" s="6" customFormat="1" ht="15" hidden="1" customHeight="1">
      <c r="A458" s="106"/>
      <c r="B458" s="106"/>
      <c r="C458" s="106"/>
      <c r="D458" s="106"/>
      <c r="E458" s="106"/>
      <c r="F458" s="106"/>
      <c r="G458" s="106"/>
      <c r="H458" s="106"/>
      <c r="I458" s="106"/>
      <c r="J458" s="106"/>
      <c r="K458" s="106"/>
      <c r="L458" s="106"/>
      <c r="M458" s="106"/>
      <c r="N458" s="106"/>
      <c r="O458" s="106"/>
      <c r="P458" s="106"/>
      <c r="Q458" s="106"/>
      <c r="R458" s="106"/>
      <c r="S458" s="106"/>
      <c r="T458" s="106"/>
      <c r="U458" s="106"/>
      <c r="V458" s="106"/>
      <c r="W458" s="106"/>
      <c r="X458" s="106"/>
      <c r="Y458" s="106"/>
      <c r="Z458" s="106"/>
      <c r="AA458" s="106"/>
      <c r="AB458" s="106"/>
      <c r="AC458" s="106"/>
      <c r="AD458" s="106"/>
      <c r="AE458" s="106"/>
      <c r="AF458" s="106"/>
      <c r="AG458" s="106"/>
      <c r="AH458" s="106"/>
      <c r="AI458" s="106"/>
      <c r="AJ458" s="106"/>
    </row>
    <row r="459" spans="1:36" s="6" customFormat="1" ht="15" hidden="1" customHeight="1">
      <c r="A459" s="106"/>
      <c r="B459" s="106"/>
      <c r="C459" s="106"/>
      <c r="D459" s="106"/>
      <c r="E459" s="106"/>
      <c r="F459" s="106"/>
      <c r="G459" s="106"/>
      <c r="H459" s="106"/>
      <c r="I459" s="106"/>
      <c r="J459" s="106"/>
      <c r="K459" s="106"/>
      <c r="L459" s="106"/>
      <c r="M459" s="106"/>
      <c r="N459" s="106"/>
      <c r="O459" s="106"/>
      <c r="P459" s="106"/>
      <c r="Q459" s="106"/>
      <c r="R459" s="106"/>
      <c r="S459" s="106"/>
      <c r="T459" s="106"/>
      <c r="U459" s="106"/>
      <c r="V459" s="106"/>
      <c r="W459" s="106"/>
      <c r="X459" s="106"/>
      <c r="Y459" s="106"/>
      <c r="Z459" s="106"/>
      <c r="AA459" s="106"/>
      <c r="AB459" s="106"/>
      <c r="AC459" s="106"/>
      <c r="AD459" s="106"/>
      <c r="AE459" s="106"/>
      <c r="AF459" s="106"/>
      <c r="AG459" s="106"/>
      <c r="AH459" s="106"/>
      <c r="AI459" s="106"/>
      <c r="AJ459" s="106"/>
    </row>
    <row r="460" spans="1:36" s="6" customFormat="1" ht="15" hidden="1" customHeight="1">
      <c r="A460" s="106"/>
      <c r="B460" s="106"/>
      <c r="C460" s="106"/>
      <c r="D460" s="106"/>
      <c r="E460" s="106"/>
      <c r="F460" s="106"/>
      <c r="G460" s="106"/>
      <c r="H460" s="106"/>
      <c r="I460" s="106"/>
      <c r="J460" s="106"/>
      <c r="K460" s="106"/>
      <c r="L460" s="106"/>
      <c r="M460" s="106"/>
      <c r="N460" s="106"/>
      <c r="O460" s="106"/>
      <c r="P460" s="106"/>
      <c r="Q460" s="106"/>
      <c r="R460" s="106"/>
      <c r="S460" s="106"/>
      <c r="T460" s="106"/>
      <c r="U460" s="106"/>
      <c r="V460" s="106"/>
      <c r="W460" s="106"/>
      <c r="X460" s="106"/>
      <c r="Y460" s="106"/>
      <c r="Z460" s="106"/>
      <c r="AA460" s="106"/>
      <c r="AB460" s="106"/>
      <c r="AC460" s="106"/>
      <c r="AD460" s="106"/>
      <c r="AE460" s="106"/>
      <c r="AF460" s="106"/>
      <c r="AG460" s="106"/>
      <c r="AH460" s="106"/>
      <c r="AI460" s="106"/>
      <c r="AJ460" s="106"/>
    </row>
    <row r="461" spans="1:36" s="6" customFormat="1" ht="15" hidden="1" customHeight="1">
      <c r="A461" s="106"/>
      <c r="B461" s="106"/>
      <c r="C461" s="106"/>
      <c r="D461" s="106"/>
      <c r="E461" s="106"/>
      <c r="F461" s="106"/>
      <c r="G461" s="106"/>
      <c r="H461" s="106"/>
      <c r="I461" s="106"/>
      <c r="J461" s="106"/>
      <c r="K461" s="106"/>
      <c r="L461" s="106"/>
      <c r="M461" s="106"/>
      <c r="N461" s="106"/>
      <c r="O461" s="106"/>
      <c r="P461" s="106"/>
      <c r="Q461" s="106"/>
      <c r="R461" s="106"/>
      <c r="S461" s="106"/>
      <c r="T461" s="106"/>
      <c r="U461" s="106"/>
      <c r="V461" s="106"/>
      <c r="W461" s="106"/>
      <c r="X461" s="106"/>
      <c r="Y461" s="106"/>
      <c r="Z461" s="106"/>
      <c r="AA461" s="106"/>
      <c r="AB461" s="106"/>
      <c r="AC461" s="106"/>
      <c r="AD461" s="106"/>
      <c r="AE461" s="106"/>
      <c r="AF461" s="106"/>
      <c r="AG461" s="106"/>
      <c r="AH461" s="106"/>
      <c r="AI461" s="106"/>
      <c r="AJ461" s="106"/>
    </row>
    <row r="462" spans="1:36" s="6" customFormat="1" ht="15" hidden="1" customHeight="1">
      <c r="A462" s="106"/>
      <c r="B462" s="106"/>
      <c r="C462" s="106"/>
      <c r="D462" s="106"/>
      <c r="E462" s="106"/>
      <c r="F462" s="106"/>
      <c r="G462" s="106"/>
      <c r="H462" s="106"/>
      <c r="I462" s="106"/>
      <c r="J462" s="106"/>
      <c r="K462" s="106"/>
      <c r="L462" s="106"/>
      <c r="M462" s="106"/>
      <c r="N462" s="106"/>
      <c r="O462" s="106"/>
      <c r="P462" s="106"/>
      <c r="Q462" s="106"/>
      <c r="R462" s="106"/>
      <c r="S462" s="106"/>
      <c r="T462" s="106"/>
      <c r="U462" s="106"/>
      <c r="V462" s="106"/>
      <c r="W462" s="106"/>
      <c r="X462" s="106"/>
      <c r="Y462" s="106"/>
      <c r="Z462" s="106"/>
      <c r="AA462" s="106"/>
      <c r="AB462" s="106"/>
      <c r="AC462" s="106"/>
      <c r="AD462" s="106"/>
      <c r="AE462" s="106"/>
      <c r="AF462" s="106"/>
      <c r="AG462" s="106"/>
      <c r="AH462" s="106"/>
      <c r="AI462" s="106"/>
      <c r="AJ462" s="106"/>
    </row>
    <row r="463" spans="1:36" s="6" customFormat="1" ht="15" hidden="1" customHeight="1">
      <c r="A463" s="106"/>
      <c r="B463" s="106"/>
      <c r="C463" s="106"/>
      <c r="D463" s="106"/>
      <c r="E463" s="106"/>
      <c r="F463" s="106"/>
      <c r="G463" s="106"/>
      <c r="H463" s="106"/>
      <c r="I463" s="106"/>
      <c r="J463" s="106"/>
      <c r="K463" s="106"/>
      <c r="L463" s="106"/>
      <c r="M463" s="106"/>
      <c r="N463" s="106"/>
      <c r="O463" s="106"/>
      <c r="P463" s="106"/>
      <c r="Q463" s="106"/>
      <c r="R463" s="106"/>
      <c r="S463" s="106"/>
      <c r="T463" s="106"/>
      <c r="U463" s="106"/>
      <c r="V463" s="106"/>
      <c r="W463" s="106"/>
      <c r="X463" s="106"/>
      <c r="Y463" s="106"/>
      <c r="Z463" s="106"/>
      <c r="AA463" s="106"/>
      <c r="AB463" s="106"/>
      <c r="AC463" s="106"/>
      <c r="AD463" s="106"/>
      <c r="AE463" s="106"/>
      <c r="AF463" s="106"/>
      <c r="AG463" s="106"/>
      <c r="AH463" s="106"/>
      <c r="AI463" s="106"/>
      <c r="AJ463" s="106"/>
    </row>
    <row r="464" spans="1:36" s="6" customFormat="1" ht="15" hidden="1" customHeight="1">
      <c r="A464" s="106"/>
      <c r="B464" s="106"/>
      <c r="C464" s="106"/>
      <c r="D464" s="106"/>
      <c r="E464" s="106"/>
      <c r="F464" s="106"/>
      <c r="G464" s="106"/>
      <c r="H464" s="106"/>
      <c r="I464" s="106"/>
      <c r="J464" s="106"/>
      <c r="K464" s="106"/>
      <c r="L464" s="106"/>
      <c r="M464" s="106"/>
      <c r="N464" s="106"/>
      <c r="O464" s="106"/>
      <c r="P464" s="106"/>
      <c r="Q464" s="106"/>
      <c r="R464" s="106"/>
      <c r="S464" s="106"/>
      <c r="T464" s="106"/>
      <c r="U464" s="106"/>
      <c r="V464" s="106"/>
      <c r="W464" s="106"/>
      <c r="X464" s="106"/>
      <c r="Y464" s="106"/>
      <c r="Z464" s="106"/>
      <c r="AA464" s="106"/>
      <c r="AB464" s="106"/>
      <c r="AC464" s="106"/>
      <c r="AD464" s="106"/>
      <c r="AE464" s="106"/>
      <c r="AF464" s="106"/>
      <c r="AG464" s="106"/>
      <c r="AH464" s="106"/>
      <c r="AI464" s="106"/>
      <c r="AJ464" s="106"/>
    </row>
    <row r="465" spans="1:36" s="6" customFormat="1" ht="15" hidden="1" customHeight="1">
      <c r="A465" s="106"/>
      <c r="B465" s="106"/>
      <c r="C465" s="106"/>
      <c r="D465" s="106"/>
      <c r="E465" s="106"/>
      <c r="F465" s="106"/>
      <c r="G465" s="106"/>
      <c r="H465" s="106"/>
      <c r="I465" s="106"/>
      <c r="J465" s="106"/>
      <c r="K465" s="106"/>
      <c r="L465" s="106"/>
      <c r="M465" s="106"/>
      <c r="N465" s="106"/>
      <c r="O465" s="106"/>
      <c r="P465" s="106"/>
      <c r="Q465" s="106"/>
      <c r="R465" s="106"/>
      <c r="S465" s="106"/>
      <c r="T465" s="106"/>
      <c r="U465" s="106"/>
      <c r="V465" s="106"/>
      <c r="W465" s="106"/>
      <c r="X465" s="106"/>
      <c r="Y465" s="106"/>
      <c r="Z465" s="106"/>
      <c r="AA465" s="106"/>
      <c r="AB465" s="106"/>
      <c r="AC465" s="106"/>
      <c r="AD465" s="106"/>
      <c r="AE465" s="106"/>
      <c r="AF465" s="106"/>
      <c r="AG465" s="106"/>
      <c r="AH465" s="106"/>
      <c r="AI465" s="106"/>
      <c r="AJ465" s="106"/>
    </row>
    <row r="466" spans="1:36" s="6" customFormat="1" ht="30" hidden="1" customHeight="1">
      <c r="A466" s="106"/>
      <c r="B466" s="106"/>
      <c r="C466" s="106"/>
      <c r="D466" s="106"/>
      <c r="E466" s="106"/>
      <c r="F466" s="106"/>
      <c r="G466" s="106"/>
      <c r="H466" s="106"/>
      <c r="I466" s="106"/>
      <c r="J466" s="106"/>
      <c r="K466" s="106"/>
      <c r="L466" s="106"/>
      <c r="M466" s="106"/>
      <c r="N466" s="106"/>
      <c r="O466" s="106"/>
      <c r="P466" s="106"/>
      <c r="Q466" s="106"/>
      <c r="R466" s="106"/>
      <c r="S466" s="106"/>
      <c r="T466" s="106"/>
      <c r="U466" s="106"/>
      <c r="V466" s="106"/>
      <c r="W466" s="106"/>
      <c r="X466" s="106"/>
      <c r="Y466" s="106"/>
      <c r="Z466" s="106"/>
      <c r="AA466" s="106"/>
      <c r="AB466" s="106"/>
      <c r="AC466" s="106"/>
      <c r="AD466" s="106"/>
      <c r="AE466" s="106"/>
      <c r="AF466" s="106"/>
      <c r="AG466" s="106"/>
      <c r="AH466" s="106"/>
      <c r="AI466" s="106"/>
      <c r="AJ466" s="106"/>
    </row>
    <row r="467" spans="1:36" s="6" customFormat="1" ht="15" hidden="1" customHeight="1">
      <c r="A467" s="106"/>
      <c r="B467" s="106"/>
      <c r="C467" s="106"/>
      <c r="D467" s="106"/>
      <c r="E467" s="106"/>
      <c r="F467" s="106"/>
      <c r="G467" s="106"/>
      <c r="H467" s="106"/>
      <c r="I467" s="106"/>
      <c r="J467" s="106"/>
      <c r="K467" s="106"/>
      <c r="L467" s="106"/>
      <c r="M467" s="106"/>
      <c r="N467" s="106"/>
      <c r="O467" s="106"/>
      <c r="P467" s="106"/>
      <c r="Q467" s="106"/>
      <c r="R467" s="106"/>
      <c r="S467" s="106"/>
      <c r="T467" s="106"/>
      <c r="U467" s="106"/>
      <c r="V467" s="106"/>
      <c r="W467" s="106"/>
      <c r="X467" s="106"/>
      <c r="Y467" s="106"/>
      <c r="Z467" s="106"/>
      <c r="AA467" s="106"/>
      <c r="AB467" s="106"/>
      <c r="AC467" s="106"/>
      <c r="AD467" s="106"/>
      <c r="AE467" s="106"/>
      <c r="AF467" s="106"/>
      <c r="AG467" s="106"/>
      <c r="AH467" s="106"/>
      <c r="AI467" s="106"/>
      <c r="AJ467" s="106"/>
    </row>
    <row r="468" spans="1:36" s="6" customFormat="1" ht="30" hidden="1" customHeight="1">
      <c r="A468" s="106"/>
      <c r="B468" s="106"/>
      <c r="C468" s="106"/>
      <c r="D468" s="106"/>
      <c r="E468" s="106"/>
      <c r="F468" s="106"/>
      <c r="G468" s="106"/>
      <c r="H468" s="106"/>
      <c r="I468" s="106"/>
      <c r="J468" s="106"/>
      <c r="K468" s="106"/>
      <c r="L468" s="106"/>
      <c r="M468" s="106"/>
      <c r="N468" s="106"/>
      <c r="O468" s="106"/>
      <c r="P468" s="106"/>
      <c r="Q468" s="106"/>
      <c r="R468" s="106"/>
      <c r="S468" s="106"/>
      <c r="T468" s="106"/>
      <c r="U468" s="106"/>
      <c r="V468" s="106"/>
      <c r="W468" s="106"/>
      <c r="X468" s="106"/>
      <c r="Y468" s="106"/>
      <c r="Z468" s="106"/>
      <c r="AA468" s="106"/>
      <c r="AB468" s="106"/>
      <c r="AC468" s="106"/>
      <c r="AD468" s="106"/>
      <c r="AE468" s="106"/>
      <c r="AF468" s="106"/>
      <c r="AG468" s="106"/>
      <c r="AH468" s="106"/>
      <c r="AI468" s="106"/>
      <c r="AJ468" s="106"/>
    </row>
    <row r="469" spans="1:36" s="6" customFormat="1" ht="15" hidden="1" customHeight="1">
      <c r="A469" s="106"/>
      <c r="B469" s="106"/>
      <c r="C469" s="106"/>
      <c r="D469" s="106"/>
      <c r="E469" s="106"/>
      <c r="F469" s="106"/>
      <c r="G469" s="106"/>
      <c r="H469" s="106"/>
      <c r="I469" s="106"/>
      <c r="J469" s="106"/>
      <c r="K469" s="106"/>
      <c r="L469" s="106"/>
      <c r="M469" s="106"/>
      <c r="N469" s="106"/>
      <c r="O469" s="106"/>
      <c r="P469" s="106"/>
      <c r="Q469" s="106"/>
      <c r="R469" s="106"/>
      <c r="S469" s="106"/>
      <c r="T469" s="106"/>
      <c r="U469" s="106"/>
      <c r="V469" s="106"/>
      <c r="W469" s="106"/>
      <c r="X469" s="106"/>
      <c r="Y469" s="106"/>
      <c r="Z469" s="106"/>
      <c r="AA469" s="106"/>
      <c r="AB469" s="106"/>
      <c r="AC469" s="106"/>
      <c r="AD469" s="106"/>
      <c r="AE469" s="106"/>
      <c r="AF469" s="106"/>
      <c r="AG469" s="106"/>
      <c r="AH469" s="106"/>
      <c r="AI469" s="106"/>
      <c r="AJ469" s="106"/>
    </row>
    <row r="470" spans="1:36" s="6" customFormat="1" ht="15" hidden="1" customHeight="1">
      <c r="A470" s="106"/>
      <c r="B470" s="106"/>
      <c r="C470" s="106"/>
      <c r="D470" s="106"/>
      <c r="E470" s="106"/>
      <c r="F470" s="106"/>
      <c r="G470" s="106"/>
      <c r="H470" s="106"/>
      <c r="I470" s="106"/>
      <c r="J470" s="106"/>
      <c r="K470" s="106"/>
      <c r="L470" s="106"/>
      <c r="M470" s="106"/>
      <c r="N470" s="106"/>
      <c r="O470" s="106"/>
      <c r="P470" s="106"/>
      <c r="Q470" s="106"/>
      <c r="R470" s="106"/>
      <c r="S470" s="106"/>
      <c r="T470" s="106"/>
      <c r="U470" s="106"/>
      <c r="V470" s="106"/>
      <c r="W470" s="106"/>
      <c r="X470" s="106"/>
      <c r="Y470" s="106"/>
      <c r="Z470" s="106"/>
      <c r="AA470" s="106"/>
      <c r="AB470" s="106"/>
      <c r="AC470" s="106"/>
      <c r="AD470" s="106"/>
      <c r="AE470" s="106"/>
      <c r="AF470" s="106"/>
      <c r="AG470" s="106"/>
      <c r="AH470" s="106"/>
      <c r="AI470" s="106"/>
      <c r="AJ470" s="106"/>
    </row>
    <row r="471" spans="1:36" s="6" customFormat="1" ht="30" hidden="1" customHeight="1">
      <c r="A471" s="106"/>
      <c r="B471" s="106"/>
      <c r="C471" s="106"/>
      <c r="D471" s="106"/>
      <c r="E471" s="106"/>
      <c r="F471" s="106"/>
      <c r="G471" s="106"/>
      <c r="H471" s="106"/>
      <c r="I471" s="106"/>
      <c r="J471" s="106"/>
      <c r="K471" s="106"/>
      <c r="L471" s="106"/>
      <c r="M471" s="106"/>
      <c r="N471" s="106"/>
      <c r="O471" s="106"/>
      <c r="P471" s="106"/>
      <c r="Q471" s="106"/>
      <c r="R471" s="106"/>
      <c r="S471" s="106"/>
      <c r="T471" s="106"/>
      <c r="U471" s="106"/>
      <c r="V471" s="106"/>
      <c r="W471" s="106"/>
      <c r="X471" s="106"/>
      <c r="Y471" s="106"/>
      <c r="Z471" s="106"/>
      <c r="AA471" s="106"/>
      <c r="AB471" s="106"/>
      <c r="AC471" s="106"/>
      <c r="AD471" s="106"/>
      <c r="AE471" s="106"/>
      <c r="AF471" s="106"/>
      <c r="AG471" s="106"/>
      <c r="AH471" s="106"/>
      <c r="AI471" s="106"/>
      <c r="AJ471" s="106"/>
    </row>
    <row r="472" spans="1:36" s="6" customFormat="1" ht="15" hidden="1" customHeight="1">
      <c r="A472" s="106"/>
      <c r="B472" s="106"/>
      <c r="C472" s="106"/>
      <c r="D472" s="106"/>
      <c r="E472" s="106"/>
      <c r="F472" s="106"/>
      <c r="G472" s="106"/>
      <c r="H472" s="106"/>
      <c r="I472" s="106"/>
      <c r="J472" s="106"/>
      <c r="K472" s="106"/>
      <c r="L472" s="106"/>
      <c r="M472" s="106"/>
      <c r="N472" s="106"/>
      <c r="O472" s="106"/>
      <c r="P472" s="106"/>
      <c r="Q472" s="106"/>
      <c r="R472" s="106"/>
      <c r="S472" s="106"/>
      <c r="T472" s="106"/>
      <c r="U472" s="106"/>
      <c r="V472" s="106"/>
      <c r="W472" s="106"/>
      <c r="X472" s="106"/>
      <c r="Y472" s="106"/>
      <c r="Z472" s="106"/>
      <c r="AA472" s="106"/>
      <c r="AB472" s="106"/>
      <c r="AC472" s="106"/>
      <c r="AD472" s="106"/>
      <c r="AE472" s="106"/>
      <c r="AF472" s="106"/>
      <c r="AG472" s="106"/>
      <c r="AH472" s="106"/>
      <c r="AI472" s="106"/>
      <c r="AJ472" s="106"/>
    </row>
    <row r="473" spans="1:36" s="6" customFormat="1" ht="15" hidden="1" customHeight="1">
      <c r="A473" s="106"/>
      <c r="B473" s="106"/>
      <c r="C473" s="106"/>
      <c r="D473" s="106"/>
      <c r="E473" s="106"/>
      <c r="F473" s="106"/>
      <c r="G473" s="106"/>
      <c r="H473" s="106"/>
      <c r="I473" s="106"/>
      <c r="J473" s="106"/>
      <c r="K473" s="106"/>
      <c r="L473" s="106"/>
      <c r="M473" s="106"/>
      <c r="N473" s="106"/>
      <c r="O473" s="106"/>
      <c r="P473" s="106"/>
      <c r="Q473" s="106"/>
      <c r="R473" s="106"/>
      <c r="S473" s="106"/>
      <c r="T473" s="106"/>
      <c r="U473" s="106"/>
      <c r="V473" s="106"/>
      <c r="W473" s="106"/>
      <c r="X473" s="106"/>
      <c r="Y473" s="106"/>
      <c r="Z473" s="106"/>
      <c r="AA473" s="106"/>
      <c r="AB473" s="106"/>
      <c r="AC473" s="106"/>
      <c r="AD473" s="106"/>
      <c r="AE473" s="106"/>
      <c r="AF473" s="106"/>
      <c r="AG473" s="106"/>
      <c r="AH473" s="106"/>
      <c r="AI473" s="106"/>
      <c r="AJ473" s="106"/>
    </row>
    <row r="474" spans="1:36" s="6" customFormat="1" ht="15" hidden="1" customHeight="1">
      <c r="A474" s="106"/>
      <c r="B474" s="106"/>
      <c r="C474" s="106"/>
      <c r="D474" s="106"/>
      <c r="E474" s="106"/>
      <c r="F474" s="106"/>
      <c r="G474" s="106"/>
      <c r="H474" s="106"/>
      <c r="I474" s="106"/>
      <c r="J474" s="106"/>
      <c r="K474" s="106"/>
      <c r="L474" s="106"/>
      <c r="M474" s="106"/>
      <c r="N474" s="106"/>
      <c r="O474" s="106"/>
      <c r="P474" s="106"/>
      <c r="Q474" s="106"/>
      <c r="R474" s="106"/>
      <c r="S474" s="106"/>
      <c r="T474" s="106"/>
      <c r="U474" s="106"/>
      <c r="V474" s="106"/>
      <c r="W474" s="106"/>
      <c r="X474" s="106"/>
      <c r="Y474" s="106"/>
      <c r="Z474" s="106"/>
      <c r="AA474" s="106"/>
      <c r="AB474" s="106"/>
      <c r="AC474" s="106"/>
      <c r="AD474" s="106"/>
      <c r="AE474" s="106"/>
      <c r="AF474" s="106"/>
      <c r="AG474" s="106"/>
      <c r="AH474" s="106"/>
      <c r="AI474" s="106"/>
      <c r="AJ474" s="106"/>
    </row>
    <row r="475" spans="1:36" s="6" customFormat="1" ht="15" hidden="1" customHeight="1">
      <c r="A475" s="106"/>
      <c r="B475" s="106"/>
      <c r="C475" s="106"/>
      <c r="D475" s="106"/>
      <c r="E475" s="106"/>
      <c r="F475" s="106"/>
      <c r="G475" s="106"/>
      <c r="H475" s="106"/>
      <c r="I475" s="106"/>
      <c r="J475" s="106"/>
      <c r="K475" s="106"/>
      <c r="L475" s="106"/>
      <c r="M475" s="106"/>
      <c r="N475" s="106"/>
      <c r="O475" s="106"/>
      <c r="P475" s="106"/>
      <c r="Q475" s="106"/>
      <c r="R475" s="106"/>
      <c r="S475" s="106"/>
      <c r="T475" s="106"/>
      <c r="U475" s="106"/>
      <c r="V475" s="106"/>
      <c r="W475" s="106"/>
      <c r="X475" s="106"/>
      <c r="Y475" s="106"/>
      <c r="Z475" s="106"/>
      <c r="AA475" s="106"/>
      <c r="AB475" s="106"/>
      <c r="AC475" s="106"/>
      <c r="AD475" s="106"/>
      <c r="AE475" s="106"/>
      <c r="AF475" s="106"/>
      <c r="AG475" s="106"/>
      <c r="AH475" s="106"/>
      <c r="AI475" s="106"/>
      <c r="AJ475" s="106"/>
    </row>
    <row r="476" spans="1:36" s="6" customFormat="1" ht="30" hidden="1" customHeight="1">
      <c r="A476" s="106"/>
      <c r="B476" s="106"/>
      <c r="C476" s="106"/>
      <c r="D476" s="106"/>
      <c r="E476" s="106"/>
      <c r="F476" s="106"/>
      <c r="G476" s="106"/>
      <c r="H476" s="106"/>
      <c r="I476" s="106"/>
      <c r="J476" s="106"/>
      <c r="K476" s="106"/>
      <c r="L476" s="106"/>
      <c r="M476" s="106"/>
      <c r="N476" s="106"/>
      <c r="O476" s="106"/>
      <c r="P476" s="106"/>
      <c r="Q476" s="106"/>
      <c r="R476" s="106"/>
      <c r="S476" s="106"/>
      <c r="T476" s="106"/>
      <c r="U476" s="106"/>
      <c r="V476" s="106"/>
      <c r="W476" s="106"/>
      <c r="X476" s="106"/>
      <c r="Y476" s="106"/>
      <c r="Z476" s="106"/>
      <c r="AA476" s="106"/>
      <c r="AB476" s="106"/>
      <c r="AC476" s="106"/>
      <c r="AD476" s="106"/>
      <c r="AE476" s="106"/>
      <c r="AF476" s="106"/>
      <c r="AG476" s="106"/>
      <c r="AH476" s="106"/>
      <c r="AI476" s="106"/>
      <c r="AJ476" s="106"/>
    </row>
    <row r="477" spans="1:36" s="6" customFormat="1" ht="15" hidden="1" customHeight="1">
      <c r="A477" s="106"/>
      <c r="B477" s="106"/>
      <c r="C477" s="106"/>
      <c r="D477" s="106"/>
      <c r="E477" s="106"/>
      <c r="F477" s="106"/>
      <c r="G477" s="106"/>
      <c r="H477" s="106"/>
      <c r="I477" s="106"/>
      <c r="J477" s="106"/>
      <c r="K477" s="106"/>
      <c r="L477" s="106"/>
      <c r="M477" s="106"/>
      <c r="N477" s="106"/>
      <c r="O477" s="106"/>
      <c r="P477" s="106"/>
      <c r="Q477" s="106"/>
      <c r="R477" s="106"/>
      <c r="S477" s="106"/>
      <c r="T477" s="106"/>
      <c r="U477" s="106"/>
      <c r="V477" s="106"/>
      <c r="W477" s="106"/>
      <c r="X477" s="106"/>
      <c r="Y477" s="106"/>
      <c r="Z477" s="106"/>
      <c r="AA477" s="106"/>
      <c r="AB477" s="106"/>
      <c r="AC477" s="106"/>
      <c r="AD477" s="106"/>
      <c r="AE477" s="106"/>
      <c r="AF477" s="106"/>
      <c r="AG477" s="106"/>
      <c r="AH477" s="106"/>
      <c r="AI477" s="106"/>
      <c r="AJ477" s="106"/>
    </row>
    <row r="478" spans="1:36" s="6" customFormat="1" ht="15" hidden="1" customHeight="1">
      <c r="A478" s="106"/>
      <c r="B478" s="106"/>
      <c r="C478" s="106"/>
      <c r="D478" s="106"/>
      <c r="E478" s="106"/>
      <c r="F478" s="106"/>
      <c r="G478" s="106"/>
      <c r="H478" s="106"/>
      <c r="I478" s="106"/>
      <c r="J478" s="106"/>
      <c r="K478" s="106"/>
      <c r="L478" s="106"/>
      <c r="M478" s="106"/>
      <c r="N478" s="106"/>
      <c r="O478" s="106"/>
      <c r="P478" s="106"/>
      <c r="Q478" s="106"/>
      <c r="R478" s="106"/>
      <c r="S478" s="106"/>
      <c r="T478" s="106"/>
      <c r="U478" s="106"/>
      <c r="V478" s="106"/>
      <c r="W478" s="106"/>
      <c r="X478" s="106"/>
      <c r="Y478" s="106"/>
      <c r="Z478" s="106"/>
      <c r="AA478" s="106"/>
      <c r="AB478" s="106"/>
      <c r="AC478" s="106"/>
      <c r="AD478" s="106"/>
      <c r="AE478" s="106"/>
      <c r="AF478" s="106"/>
      <c r="AG478" s="106"/>
      <c r="AH478" s="106"/>
      <c r="AI478" s="106"/>
      <c r="AJ478" s="106"/>
    </row>
    <row r="479" spans="1:36" s="6" customFormat="1" ht="30" hidden="1" customHeight="1">
      <c r="A479" s="106"/>
      <c r="B479" s="106"/>
      <c r="C479" s="106"/>
      <c r="D479" s="106"/>
      <c r="E479" s="106"/>
      <c r="F479" s="106"/>
      <c r="G479" s="106"/>
      <c r="H479" s="106"/>
      <c r="I479" s="106"/>
      <c r="J479" s="106"/>
      <c r="K479" s="106"/>
      <c r="L479" s="106"/>
      <c r="M479" s="106"/>
      <c r="N479" s="106"/>
      <c r="O479" s="106"/>
      <c r="P479" s="106"/>
      <c r="Q479" s="106"/>
      <c r="R479" s="106"/>
      <c r="S479" s="106"/>
      <c r="T479" s="106"/>
      <c r="U479" s="106"/>
      <c r="V479" s="106"/>
      <c r="W479" s="106"/>
      <c r="X479" s="106"/>
      <c r="Y479" s="106"/>
      <c r="Z479" s="106"/>
      <c r="AA479" s="106"/>
      <c r="AB479" s="106"/>
      <c r="AC479" s="106"/>
      <c r="AD479" s="106"/>
      <c r="AE479" s="106"/>
      <c r="AF479" s="106"/>
      <c r="AG479" s="106"/>
      <c r="AH479" s="106"/>
      <c r="AI479" s="106"/>
      <c r="AJ479" s="106"/>
    </row>
    <row r="480" spans="1:36" s="6" customFormat="1" ht="15" hidden="1" customHeight="1">
      <c r="A480" s="106"/>
      <c r="B480" s="106"/>
      <c r="C480" s="106"/>
      <c r="D480" s="106"/>
      <c r="E480" s="106"/>
      <c r="F480" s="106"/>
      <c r="G480" s="106"/>
      <c r="H480" s="106"/>
      <c r="I480" s="106"/>
      <c r="J480" s="106"/>
      <c r="K480" s="106"/>
      <c r="L480" s="106"/>
      <c r="M480" s="106"/>
      <c r="N480" s="106"/>
      <c r="O480" s="106"/>
      <c r="P480" s="106"/>
      <c r="Q480" s="106"/>
      <c r="R480" s="106"/>
      <c r="S480" s="106"/>
      <c r="T480" s="106"/>
      <c r="U480" s="106"/>
      <c r="V480" s="106"/>
      <c r="W480" s="106"/>
      <c r="X480" s="106"/>
      <c r="Y480" s="106"/>
      <c r="Z480" s="106"/>
      <c r="AA480" s="106"/>
      <c r="AB480" s="106"/>
      <c r="AC480" s="106"/>
      <c r="AD480" s="106"/>
      <c r="AE480" s="106"/>
      <c r="AF480" s="106"/>
      <c r="AG480" s="106"/>
      <c r="AH480" s="106"/>
      <c r="AI480" s="106"/>
      <c r="AJ480" s="106"/>
    </row>
    <row r="481" spans="1:36" s="6" customFormat="1" ht="15" hidden="1" customHeight="1">
      <c r="A481" s="106"/>
      <c r="B481" s="106"/>
      <c r="C481" s="106"/>
      <c r="D481" s="106"/>
      <c r="E481" s="106"/>
      <c r="F481" s="106"/>
      <c r="G481" s="106"/>
      <c r="H481" s="106"/>
      <c r="I481" s="106"/>
      <c r="J481" s="106"/>
      <c r="K481" s="106"/>
      <c r="L481" s="106"/>
      <c r="M481" s="106"/>
      <c r="N481" s="106"/>
      <c r="O481" s="106"/>
      <c r="P481" s="106"/>
      <c r="Q481" s="106"/>
      <c r="R481" s="106"/>
      <c r="S481" s="106"/>
      <c r="T481" s="106"/>
      <c r="U481" s="106"/>
      <c r="V481" s="106"/>
      <c r="W481" s="106"/>
      <c r="X481" s="106"/>
      <c r="Y481" s="106"/>
      <c r="Z481" s="106"/>
      <c r="AA481" s="106"/>
      <c r="AB481" s="106"/>
      <c r="AC481" s="106"/>
      <c r="AD481" s="106"/>
      <c r="AE481" s="106"/>
      <c r="AF481" s="106"/>
      <c r="AG481" s="106"/>
      <c r="AH481" s="106"/>
      <c r="AI481" s="106"/>
      <c r="AJ481" s="106"/>
    </row>
    <row r="482" spans="1:36" s="6" customFormat="1" ht="15" hidden="1" customHeight="1">
      <c r="A482" s="106"/>
      <c r="B482" s="106"/>
      <c r="C482" s="106"/>
      <c r="D482" s="106"/>
      <c r="E482" s="106"/>
      <c r="F482" s="106"/>
      <c r="G482" s="106"/>
      <c r="H482" s="106"/>
      <c r="I482" s="106"/>
      <c r="J482" s="106"/>
      <c r="K482" s="106"/>
      <c r="L482" s="106"/>
      <c r="M482" s="106"/>
      <c r="N482" s="106"/>
      <c r="O482" s="106"/>
      <c r="P482" s="106"/>
      <c r="Q482" s="106"/>
      <c r="R482" s="106"/>
      <c r="S482" s="106"/>
      <c r="T482" s="106"/>
      <c r="U482" s="106"/>
      <c r="V482" s="106"/>
      <c r="W482" s="106"/>
      <c r="X482" s="106"/>
      <c r="Y482" s="106"/>
      <c r="Z482" s="106"/>
      <c r="AA482" s="106"/>
      <c r="AB482" s="106"/>
      <c r="AC482" s="106"/>
      <c r="AD482" s="106"/>
      <c r="AE482" s="106"/>
      <c r="AF482" s="106"/>
      <c r="AG482" s="106"/>
      <c r="AH482" s="106"/>
      <c r="AI482" s="106"/>
      <c r="AJ482" s="106"/>
    </row>
    <row r="483" spans="1:36" s="6" customFormat="1" ht="15" hidden="1" customHeight="1">
      <c r="A483" s="106"/>
      <c r="B483" s="106"/>
      <c r="C483" s="106"/>
      <c r="D483" s="106"/>
      <c r="E483" s="106"/>
      <c r="F483" s="106"/>
      <c r="G483" s="106"/>
      <c r="H483" s="106"/>
      <c r="I483" s="106"/>
      <c r="J483" s="106"/>
      <c r="K483" s="106"/>
      <c r="L483" s="106"/>
      <c r="M483" s="106"/>
      <c r="N483" s="106"/>
      <c r="O483" s="106"/>
      <c r="P483" s="106"/>
      <c r="Q483" s="106"/>
      <c r="R483" s="106"/>
      <c r="S483" s="106"/>
      <c r="T483" s="106"/>
      <c r="U483" s="106"/>
      <c r="V483" s="106"/>
      <c r="W483" s="106"/>
      <c r="X483" s="106"/>
      <c r="Y483" s="106"/>
      <c r="Z483" s="106"/>
      <c r="AA483" s="106"/>
      <c r="AB483" s="106"/>
      <c r="AC483" s="106"/>
      <c r="AD483" s="106"/>
      <c r="AE483" s="106"/>
      <c r="AF483" s="106"/>
      <c r="AG483" s="106"/>
      <c r="AH483" s="106"/>
      <c r="AI483" s="106"/>
      <c r="AJ483" s="106"/>
    </row>
    <row r="484" spans="1:36" s="6" customFormat="1" ht="15" hidden="1" customHeight="1">
      <c r="A484" s="106"/>
      <c r="B484" s="106"/>
      <c r="C484" s="106"/>
      <c r="D484" s="106"/>
      <c r="E484" s="106"/>
      <c r="F484" s="106"/>
      <c r="G484" s="106"/>
      <c r="H484" s="106"/>
      <c r="I484" s="106"/>
      <c r="J484" s="106"/>
      <c r="K484" s="106"/>
      <c r="L484" s="106"/>
      <c r="M484" s="106"/>
      <c r="N484" s="106"/>
      <c r="O484" s="106"/>
      <c r="P484" s="106"/>
      <c r="Q484" s="106"/>
      <c r="R484" s="106"/>
      <c r="S484" s="106"/>
      <c r="T484" s="106"/>
      <c r="U484" s="106"/>
      <c r="V484" s="106"/>
      <c r="W484" s="106"/>
      <c r="X484" s="106"/>
      <c r="Y484" s="106"/>
      <c r="Z484" s="106"/>
      <c r="AA484" s="106"/>
      <c r="AB484" s="106"/>
      <c r="AC484" s="106"/>
      <c r="AD484" s="106"/>
      <c r="AE484" s="106"/>
      <c r="AF484" s="106"/>
      <c r="AG484" s="106"/>
      <c r="AH484" s="106"/>
      <c r="AI484" s="106"/>
      <c r="AJ484" s="106"/>
    </row>
    <row r="485" spans="1:36" s="6" customFormat="1" ht="15" hidden="1" customHeight="1">
      <c r="A485" s="106"/>
      <c r="B485" s="106"/>
      <c r="C485" s="106"/>
      <c r="D485" s="106"/>
      <c r="E485" s="106"/>
      <c r="F485" s="106"/>
      <c r="G485" s="106"/>
      <c r="H485" s="106"/>
      <c r="I485" s="106"/>
      <c r="J485" s="106"/>
      <c r="K485" s="106"/>
      <c r="L485" s="106"/>
      <c r="M485" s="106"/>
      <c r="N485" s="106"/>
      <c r="O485" s="106"/>
      <c r="P485" s="106"/>
      <c r="Q485" s="106"/>
      <c r="R485" s="106"/>
      <c r="S485" s="106"/>
      <c r="T485" s="106"/>
      <c r="U485" s="106"/>
      <c r="V485" s="106"/>
      <c r="W485" s="106"/>
      <c r="X485" s="106"/>
      <c r="Y485" s="106"/>
      <c r="Z485" s="106"/>
      <c r="AA485" s="106"/>
      <c r="AB485" s="106"/>
      <c r="AC485" s="106"/>
      <c r="AD485" s="106"/>
      <c r="AE485" s="106"/>
      <c r="AF485" s="106"/>
      <c r="AG485" s="106"/>
      <c r="AH485" s="106"/>
      <c r="AI485" s="106"/>
      <c r="AJ485" s="106"/>
    </row>
    <row r="486" spans="1:36" s="6" customFormat="1" ht="15" hidden="1" customHeight="1">
      <c r="A486" s="106"/>
      <c r="B486" s="106"/>
      <c r="C486" s="106"/>
      <c r="D486" s="106"/>
      <c r="E486" s="106"/>
      <c r="F486" s="106"/>
      <c r="G486" s="106"/>
      <c r="H486" s="106"/>
      <c r="I486" s="106"/>
      <c r="J486" s="106"/>
      <c r="K486" s="106"/>
      <c r="L486" s="106"/>
      <c r="M486" s="106"/>
      <c r="N486" s="106"/>
      <c r="O486" s="106"/>
      <c r="P486" s="106"/>
      <c r="Q486" s="106"/>
      <c r="R486" s="106"/>
      <c r="S486" s="106"/>
      <c r="T486" s="106"/>
      <c r="U486" s="106"/>
      <c r="V486" s="106"/>
      <c r="W486" s="106"/>
      <c r="X486" s="106"/>
      <c r="Y486" s="106"/>
      <c r="Z486" s="106"/>
      <c r="AA486" s="106"/>
      <c r="AB486" s="106"/>
      <c r="AC486" s="106"/>
      <c r="AD486" s="106"/>
      <c r="AE486" s="106"/>
      <c r="AF486" s="106"/>
      <c r="AG486" s="106"/>
      <c r="AH486" s="106"/>
      <c r="AI486" s="106"/>
      <c r="AJ486" s="106"/>
    </row>
    <row r="487" spans="1:36" s="6" customFormat="1" ht="15" hidden="1" customHeight="1">
      <c r="A487" s="106"/>
      <c r="B487" s="106"/>
      <c r="C487" s="106"/>
      <c r="D487" s="106"/>
      <c r="E487" s="106"/>
      <c r="F487" s="106"/>
      <c r="G487" s="106"/>
      <c r="H487" s="106"/>
      <c r="I487" s="106"/>
      <c r="J487" s="106"/>
      <c r="K487" s="106"/>
      <c r="L487" s="106"/>
      <c r="M487" s="106"/>
      <c r="N487" s="106"/>
      <c r="O487" s="106"/>
      <c r="P487" s="106"/>
      <c r="Q487" s="106"/>
      <c r="R487" s="106"/>
      <c r="S487" s="106"/>
      <c r="T487" s="106"/>
      <c r="U487" s="106"/>
      <c r="V487" s="106"/>
      <c r="W487" s="106"/>
      <c r="X487" s="106"/>
      <c r="Y487" s="106"/>
      <c r="Z487" s="106"/>
      <c r="AA487" s="106"/>
      <c r="AB487" s="106"/>
      <c r="AC487" s="106"/>
      <c r="AD487" s="106"/>
      <c r="AE487" s="106"/>
      <c r="AF487" s="106"/>
      <c r="AG487" s="106"/>
      <c r="AH487" s="106"/>
      <c r="AI487" s="106"/>
      <c r="AJ487" s="106"/>
    </row>
    <row r="488" spans="1:36" s="6" customFormat="1" ht="15" hidden="1" customHeight="1">
      <c r="A488" s="106"/>
      <c r="B488" s="106"/>
      <c r="C488" s="106"/>
      <c r="D488" s="106"/>
      <c r="E488" s="106"/>
      <c r="F488" s="106"/>
      <c r="G488" s="106"/>
      <c r="H488" s="106"/>
      <c r="I488" s="106"/>
      <c r="J488" s="106"/>
      <c r="K488" s="106"/>
      <c r="L488" s="106"/>
      <c r="M488" s="106"/>
      <c r="N488" s="106"/>
      <c r="O488" s="106"/>
      <c r="P488" s="106"/>
      <c r="Q488" s="106"/>
      <c r="R488" s="106"/>
      <c r="S488" s="106"/>
      <c r="T488" s="106"/>
      <c r="U488" s="106"/>
      <c r="V488" s="106"/>
      <c r="W488" s="106"/>
      <c r="X488" s="106"/>
      <c r="Y488" s="106"/>
      <c r="Z488" s="106"/>
      <c r="AA488" s="106"/>
      <c r="AB488" s="106"/>
      <c r="AC488" s="106"/>
      <c r="AD488" s="106"/>
      <c r="AE488" s="106"/>
      <c r="AF488" s="106"/>
      <c r="AG488" s="106"/>
      <c r="AH488" s="106"/>
      <c r="AI488" s="106"/>
      <c r="AJ488" s="106"/>
    </row>
    <row r="489" spans="1:36" s="6" customFormat="1" ht="15" hidden="1" customHeight="1">
      <c r="A489" s="106"/>
      <c r="B489" s="106"/>
      <c r="C489" s="106"/>
      <c r="D489" s="106"/>
      <c r="E489" s="106"/>
      <c r="F489" s="106"/>
      <c r="G489" s="106"/>
      <c r="H489" s="106"/>
      <c r="I489" s="106"/>
      <c r="J489" s="106"/>
      <c r="K489" s="106"/>
      <c r="L489" s="106"/>
      <c r="M489" s="106"/>
      <c r="N489" s="106"/>
      <c r="O489" s="106"/>
      <c r="P489" s="106"/>
      <c r="Q489" s="106"/>
      <c r="R489" s="106"/>
      <c r="S489" s="106"/>
      <c r="T489" s="106"/>
      <c r="U489" s="106"/>
      <c r="V489" s="106"/>
      <c r="W489" s="106"/>
      <c r="X489" s="106"/>
      <c r="Y489" s="106"/>
      <c r="Z489" s="106"/>
      <c r="AA489" s="106"/>
      <c r="AB489" s="106"/>
      <c r="AC489" s="106"/>
      <c r="AD489" s="106"/>
      <c r="AE489" s="106"/>
      <c r="AF489" s="106"/>
      <c r="AG489" s="106"/>
      <c r="AH489" s="106"/>
      <c r="AI489" s="106"/>
      <c r="AJ489" s="106"/>
    </row>
    <row r="490" spans="1:36" s="6" customFormat="1" ht="15" hidden="1" customHeight="1">
      <c r="A490" s="106"/>
      <c r="B490" s="106"/>
      <c r="C490" s="106"/>
      <c r="D490" s="106"/>
      <c r="E490" s="106"/>
      <c r="F490" s="106"/>
      <c r="G490" s="106"/>
      <c r="H490" s="106"/>
      <c r="I490" s="106"/>
      <c r="J490" s="106"/>
      <c r="K490" s="106"/>
      <c r="L490" s="106"/>
      <c r="M490" s="106"/>
      <c r="N490" s="106"/>
      <c r="O490" s="106"/>
      <c r="P490" s="106"/>
      <c r="Q490" s="106"/>
      <c r="R490" s="106"/>
      <c r="S490" s="106"/>
      <c r="T490" s="106"/>
      <c r="U490" s="106"/>
      <c r="V490" s="106"/>
      <c r="W490" s="106"/>
      <c r="X490" s="106"/>
      <c r="Y490" s="106"/>
      <c r="Z490" s="106"/>
      <c r="AA490" s="106"/>
      <c r="AB490" s="106"/>
      <c r="AC490" s="106"/>
      <c r="AD490" s="106"/>
      <c r="AE490" s="106"/>
      <c r="AF490" s="106"/>
      <c r="AG490" s="106"/>
      <c r="AH490" s="106"/>
      <c r="AI490" s="106"/>
      <c r="AJ490" s="106"/>
    </row>
    <row r="491" spans="1:36" s="6" customFormat="1" ht="15" hidden="1" customHeight="1">
      <c r="A491" s="106"/>
      <c r="B491" s="106"/>
      <c r="C491" s="106"/>
      <c r="D491" s="106"/>
      <c r="E491" s="106"/>
      <c r="F491" s="106"/>
      <c r="G491" s="106"/>
      <c r="H491" s="106"/>
      <c r="I491" s="106"/>
      <c r="J491" s="106"/>
      <c r="K491" s="106"/>
      <c r="L491" s="106"/>
      <c r="M491" s="106"/>
      <c r="N491" s="106"/>
      <c r="O491" s="106"/>
      <c r="P491" s="106"/>
      <c r="Q491" s="106"/>
      <c r="R491" s="106"/>
      <c r="S491" s="106"/>
      <c r="T491" s="106"/>
      <c r="U491" s="106"/>
      <c r="V491" s="106"/>
      <c r="W491" s="106"/>
      <c r="X491" s="106"/>
      <c r="Y491" s="106"/>
      <c r="Z491" s="106"/>
      <c r="AA491" s="106"/>
      <c r="AB491" s="106"/>
      <c r="AC491" s="106"/>
      <c r="AD491" s="106"/>
      <c r="AE491" s="106"/>
      <c r="AF491" s="106"/>
      <c r="AG491" s="106"/>
      <c r="AH491" s="106"/>
      <c r="AI491" s="106"/>
      <c r="AJ491" s="106"/>
    </row>
    <row r="492" spans="1:36" s="6" customFormat="1" ht="15" hidden="1" customHeight="1">
      <c r="A492" s="106"/>
      <c r="B492" s="106"/>
      <c r="C492" s="106"/>
      <c r="D492" s="106"/>
      <c r="E492" s="106"/>
      <c r="F492" s="106"/>
      <c r="G492" s="106"/>
      <c r="H492" s="106"/>
      <c r="I492" s="106"/>
      <c r="J492" s="106"/>
      <c r="K492" s="106"/>
      <c r="L492" s="106"/>
      <c r="M492" s="106"/>
      <c r="N492" s="106"/>
      <c r="O492" s="106"/>
      <c r="P492" s="106"/>
      <c r="Q492" s="106"/>
      <c r="R492" s="106"/>
      <c r="S492" s="106"/>
      <c r="T492" s="106"/>
      <c r="U492" s="106"/>
      <c r="V492" s="106"/>
      <c r="W492" s="106"/>
      <c r="X492" s="106"/>
      <c r="Y492" s="106"/>
      <c r="Z492" s="106"/>
      <c r="AA492" s="106"/>
      <c r="AB492" s="106"/>
      <c r="AC492" s="106"/>
      <c r="AD492" s="106"/>
      <c r="AE492" s="106"/>
      <c r="AF492" s="106"/>
      <c r="AG492" s="106"/>
      <c r="AH492" s="106"/>
      <c r="AI492" s="106"/>
      <c r="AJ492" s="106"/>
    </row>
    <row r="493" spans="1:36" s="6" customFormat="1" ht="15" hidden="1" customHeight="1">
      <c r="A493" s="106"/>
      <c r="B493" s="106"/>
      <c r="C493" s="106"/>
      <c r="D493" s="106"/>
      <c r="E493" s="106"/>
      <c r="F493" s="106"/>
      <c r="G493" s="106"/>
      <c r="H493" s="106"/>
      <c r="I493" s="106"/>
      <c r="J493" s="106"/>
      <c r="K493" s="106"/>
      <c r="L493" s="106"/>
      <c r="M493" s="106"/>
      <c r="N493" s="106"/>
      <c r="O493" s="106"/>
      <c r="P493" s="106"/>
      <c r="Q493" s="106"/>
      <c r="R493" s="106"/>
      <c r="S493" s="106"/>
      <c r="T493" s="106"/>
      <c r="U493" s="106"/>
      <c r="V493" s="106"/>
      <c r="W493" s="106"/>
      <c r="X493" s="106"/>
      <c r="Y493" s="106"/>
      <c r="Z493" s="106"/>
      <c r="AA493" s="106"/>
      <c r="AB493" s="106"/>
      <c r="AC493" s="106"/>
      <c r="AD493" s="106"/>
      <c r="AE493" s="106"/>
      <c r="AF493" s="106"/>
      <c r="AG493" s="106"/>
      <c r="AH493" s="106"/>
      <c r="AI493" s="106"/>
      <c r="AJ493" s="106"/>
    </row>
    <row r="494" spans="1:36" s="6" customFormat="1" ht="15" hidden="1" customHeight="1">
      <c r="A494" s="106"/>
      <c r="B494" s="106"/>
      <c r="C494" s="106"/>
      <c r="D494" s="106"/>
      <c r="E494" s="106"/>
      <c r="F494" s="106"/>
      <c r="G494" s="106"/>
      <c r="H494" s="106"/>
      <c r="I494" s="106"/>
      <c r="J494" s="106"/>
      <c r="K494" s="106"/>
      <c r="L494" s="106"/>
      <c r="M494" s="106"/>
      <c r="N494" s="106"/>
      <c r="O494" s="106"/>
      <c r="P494" s="106"/>
      <c r="Q494" s="106"/>
      <c r="R494" s="106"/>
      <c r="S494" s="106"/>
      <c r="T494" s="106"/>
      <c r="U494" s="106"/>
      <c r="V494" s="106"/>
      <c r="W494" s="106"/>
      <c r="X494" s="106"/>
      <c r="Y494" s="106"/>
      <c r="Z494" s="106"/>
      <c r="AA494" s="106"/>
      <c r="AB494" s="106"/>
      <c r="AC494" s="106"/>
      <c r="AD494" s="106"/>
      <c r="AE494" s="106"/>
      <c r="AF494" s="106"/>
      <c r="AG494" s="106"/>
      <c r="AH494" s="106"/>
      <c r="AI494" s="106"/>
      <c r="AJ494" s="106"/>
    </row>
    <row r="495" spans="1:36" hidden="1"/>
    <row r="496" spans="1:36" hidden="1"/>
    <row r="497" spans="1:36" hidden="1"/>
    <row r="498" spans="1:36" s="6" customFormat="1" ht="15" hidden="1" customHeight="1">
      <c r="A498" s="106"/>
      <c r="B498" s="106"/>
      <c r="C498" s="106"/>
      <c r="D498" s="106"/>
      <c r="E498" s="106"/>
      <c r="F498" s="106"/>
      <c r="G498" s="106"/>
      <c r="H498" s="106"/>
      <c r="I498" s="106"/>
      <c r="J498" s="106"/>
      <c r="K498" s="106"/>
      <c r="L498" s="106"/>
      <c r="M498" s="106"/>
      <c r="N498" s="106"/>
      <c r="O498" s="106"/>
      <c r="P498" s="106"/>
      <c r="Q498" s="106"/>
      <c r="R498" s="106"/>
      <c r="S498" s="106"/>
      <c r="T498" s="106"/>
      <c r="U498" s="106"/>
      <c r="V498" s="106"/>
      <c r="W498" s="106"/>
      <c r="X498" s="106"/>
      <c r="Y498" s="106"/>
      <c r="Z498" s="106"/>
      <c r="AA498" s="106"/>
      <c r="AB498" s="106"/>
      <c r="AC498" s="106"/>
      <c r="AD498" s="106"/>
      <c r="AE498" s="106"/>
      <c r="AF498" s="106"/>
      <c r="AG498" s="106"/>
      <c r="AH498" s="106"/>
      <c r="AI498" s="106"/>
      <c r="AJ498" s="106"/>
    </row>
    <row r="499" spans="1:36" s="6" customFormat="1" ht="15" hidden="1" customHeight="1">
      <c r="A499" s="106"/>
      <c r="B499" s="106"/>
      <c r="C499" s="106"/>
      <c r="D499" s="106"/>
      <c r="E499" s="106"/>
      <c r="F499" s="106"/>
      <c r="G499" s="106"/>
      <c r="H499" s="106"/>
      <c r="I499" s="106"/>
      <c r="J499" s="106"/>
      <c r="K499" s="106"/>
      <c r="L499" s="106"/>
      <c r="M499" s="106"/>
      <c r="N499" s="106"/>
      <c r="O499" s="106"/>
      <c r="P499" s="106"/>
      <c r="Q499" s="106"/>
      <c r="R499" s="106"/>
      <c r="S499" s="106"/>
      <c r="T499" s="106"/>
      <c r="U499" s="106"/>
      <c r="V499" s="106"/>
      <c r="W499" s="106"/>
      <c r="X499" s="106"/>
      <c r="Y499" s="106"/>
      <c r="Z499" s="106"/>
      <c r="AA499" s="106"/>
      <c r="AB499" s="106"/>
      <c r="AC499" s="106"/>
      <c r="AD499" s="106"/>
      <c r="AE499" s="106"/>
      <c r="AF499" s="106"/>
      <c r="AG499" s="106"/>
      <c r="AH499" s="106"/>
      <c r="AI499" s="106"/>
      <c r="AJ499" s="106"/>
    </row>
    <row r="500" spans="1:36" s="6" customFormat="1" ht="15" hidden="1" customHeight="1">
      <c r="A500" s="106"/>
      <c r="B500" s="106"/>
      <c r="C500" s="106"/>
      <c r="D500" s="106"/>
      <c r="E500" s="106"/>
      <c r="F500" s="106"/>
      <c r="G500" s="106"/>
      <c r="H500" s="106"/>
      <c r="I500" s="106"/>
      <c r="J500" s="106"/>
      <c r="K500" s="106"/>
      <c r="L500" s="106"/>
      <c r="M500" s="106"/>
      <c r="N500" s="106"/>
      <c r="O500" s="106"/>
      <c r="P500" s="106"/>
      <c r="Q500" s="106"/>
      <c r="R500" s="106"/>
      <c r="S500" s="106"/>
      <c r="T500" s="106"/>
      <c r="U500" s="106"/>
      <c r="V500" s="106"/>
      <c r="W500" s="106"/>
      <c r="X500" s="106"/>
      <c r="Y500" s="106"/>
      <c r="Z500" s="106"/>
      <c r="AA500" s="106"/>
      <c r="AB500" s="106"/>
      <c r="AC500" s="106"/>
      <c r="AD500" s="106"/>
      <c r="AE500" s="106"/>
      <c r="AF500" s="106"/>
      <c r="AG500" s="106"/>
      <c r="AH500" s="106"/>
      <c r="AI500" s="106"/>
      <c r="AJ500" s="106"/>
    </row>
    <row r="501" spans="1:36" s="6" customFormat="1" ht="15" hidden="1" customHeight="1">
      <c r="A501" s="106"/>
      <c r="B501" s="106"/>
      <c r="C501" s="106"/>
      <c r="D501" s="106"/>
      <c r="E501" s="106"/>
      <c r="F501" s="106"/>
      <c r="G501" s="106"/>
      <c r="H501" s="106"/>
      <c r="I501" s="106"/>
      <c r="J501" s="106"/>
      <c r="K501" s="106"/>
      <c r="L501" s="106"/>
      <c r="M501" s="106"/>
      <c r="N501" s="106"/>
      <c r="O501" s="106"/>
      <c r="P501" s="106"/>
      <c r="Q501" s="106"/>
      <c r="R501" s="106"/>
      <c r="S501" s="106"/>
      <c r="T501" s="106"/>
      <c r="U501" s="106"/>
      <c r="V501" s="106"/>
      <c r="W501" s="106"/>
      <c r="X501" s="106"/>
      <c r="Y501" s="106"/>
      <c r="Z501" s="106"/>
      <c r="AA501" s="106"/>
      <c r="AB501" s="106"/>
      <c r="AC501" s="106"/>
      <c r="AD501" s="106"/>
      <c r="AE501" s="106"/>
      <c r="AF501" s="106"/>
      <c r="AG501" s="106"/>
      <c r="AH501" s="106"/>
      <c r="AI501" s="106"/>
      <c r="AJ501" s="106"/>
    </row>
    <row r="502" spans="1:36" s="6" customFormat="1" ht="15" hidden="1" customHeight="1">
      <c r="A502" s="106"/>
      <c r="B502" s="106"/>
      <c r="C502" s="106"/>
      <c r="D502" s="106"/>
      <c r="E502" s="106"/>
      <c r="F502" s="106"/>
      <c r="G502" s="106"/>
      <c r="H502" s="106"/>
      <c r="I502" s="106"/>
      <c r="J502" s="106"/>
      <c r="K502" s="106"/>
      <c r="L502" s="106"/>
      <c r="M502" s="106"/>
      <c r="N502" s="106"/>
      <c r="O502" s="106"/>
      <c r="P502" s="106"/>
      <c r="Q502" s="106"/>
      <c r="R502" s="106"/>
      <c r="S502" s="106"/>
      <c r="T502" s="106"/>
      <c r="U502" s="106"/>
      <c r="V502" s="106"/>
      <c r="W502" s="106"/>
      <c r="X502" s="106"/>
      <c r="Y502" s="106"/>
      <c r="Z502" s="106"/>
      <c r="AA502" s="106"/>
      <c r="AB502" s="106"/>
      <c r="AC502" s="106"/>
      <c r="AD502" s="106"/>
      <c r="AE502" s="106"/>
      <c r="AF502" s="106"/>
      <c r="AG502" s="106"/>
      <c r="AH502" s="106"/>
      <c r="AI502" s="106"/>
      <c r="AJ502" s="106"/>
    </row>
    <row r="503" spans="1:36" s="6" customFormat="1" ht="15" hidden="1" customHeight="1">
      <c r="A503" s="106"/>
      <c r="B503" s="106"/>
      <c r="C503" s="106"/>
      <c r="D503" s="106"/>
      <c r="E503" s="106"/>
      <c r="F503" s="106"/>
      <c r="G503" s="106"/>
      <c r="H503" s="106"/>
      <c r="I503" s="106"/>
      <c r="J503" s="106"/>
      <c r="K503" s="106"/>
      <c r="L503" s="106"/>
      <c r="M503" s="106"/>
      <c r="N503" s="106"/>
      <c r="O503" s="106"/>
      <c r="P503" s="106"/>
      <c r="Q503" s="106"/>
      <c r="R503" s="106"/>
      <c r="S503" s="106"/>
      <c r="T503" s="106"/>
      <c r="U503" s="106"/>
      <c r="V503" s="106"/>
      <c r="W503" s="106"/>
      <c r="X503" s="106"/>
      <c r="Y503" s="106"/>
      <c r="Z503" s="106"/>
      <c r="AA503" s="106"/>
      <c r="AB503" s="106"/>
      <c r="AC503" s="106"/>
      <c r="AD503" s="106"/>
      <c r="AE503" s="106"/>
      <c r="AF503" s="106"/>
      <c r="AG503" s="106"/>
      <c r="AH503" s="106"/>
      <c r="AI503" s="106"/>
      <c r="AJ503" s="106"/>
    </row>
    <row r="504" spans="1:36" s="6" customFormat="1" ht="15" hidden="1" customHeight="1">
      <c r="A504" s="106"/>
      <c r="B504" s="106"/>
      <c r="C504" s="106"/>
      <c r="D504" s="106"/>
      <c r="E504" s="106"/>
      <c r="F504" s="106"/>
      <c r="G504" s="106"/>
      <c r="H504" s="106"/>
      <c r="I504" s="106"/>
      <c r="J504" s="106"/>
      <c r="K504" s="106"/>
      <c r="L504" s="106"/>
      <c r="M504" s="106"/>
      <c r="N504" s="106"/>
      <c r="O504" s="106"/>
      <c r="P504" s="106"/>
      <c r="Q504" s="106"/>
      <c r="R504" s="106"/>
      <c r="S504" s="106"/>
      <c r="T504" s="106"/>
      <c r="U504" s="106"/>
      <c r="V504" s="106"/>
      <c r="W504" s="106"/>
      <c r="X504" s="106"/>
      <c r="Y504" s="106"/>
      <c r="Z504" s="106"/>
      <c r="AA504" s="106"/>
      <c r="AB504" s="106"/>
      <c r="AC504" s="106"/>
      <c r="AD504" s="106"/>
      <c r="AE504" s="106"/>
      <c r="AF504" s="106"/>
      <c r="AG504" s="106"/>
      <c r="AH504" s="106"/>
      <c r="AI504" s="106"/>
      <c r="AJ504" s="106"/>
    </row>
    <row r="505" spans="1:36" s="6" customFormat="1" ht="15" hidden="1" customHeight="1">
      <c r="A505" s="106"/>
      <c r="B505" s="106"/>
      <c r="C505" s="106"/>
      <c r="D505" s="106"/>
      <c r="E505" s="106"/>
      <c r="F505" s="106"/>
      <c r="G505" s="106"/>
      <c r="H505" s="106"/>
      <c r="I505" s="106"/>
      <c r="J505" s="106"/>
      <c r="K505" s="106"/>
      <c r="L505" s="106"/>
      <c r="M505" s="106"/>
      <c r="N505" s="106"/>
      <c r="O505" s="106"/>
      <c r="P505" s="106"/>
      <c r="Q505" s="106"/>
      <c r="R505" s="106"/>
      <c r="S505" s="106"/>
      <c r="T505" s="106"/>
      <c r="U505" s="106"/>
      <c r="V505" s="106"/>
      <c r="W505" s="106"/>
      <c r="X505" s="106"/>
      <c r="Y505" s="106"/>
      <c r="Z505" s="106"/>
      <c r="AA505" s="106"/>
      <c r="AB505" s="106"/>
      <c r="AC505" s="106"/>
      <c r="AD505" s="106"/>
      <c r="AE505" s="106"/>
      <c r="AF505" s="106"/>
      <c r="AG505" s="106"/>
      <c r="AH505" s="106"/>
      <c r="AI505" s="106"/>
      <c r="AJ505" s="106"/>
    </row>
    <row r="506" spans="1:36" s="6" customFormat="1" ht="15" hidden="1" customHeight="1">
      <c r="A506" s="106"/>
      <c r="B506" s="106"/>
      <c r="C506" s="106"/>
      <c r="D506" s="106"/>
      <c r="E506" s="106"/>
      <c r="F506" s="106"/>
      <c r="G506" s="106"/>
      <c r="H506" s="106"/>
      <c r="I506" s="106"/>
      <c r="J506" s="106"/>
      <c r="K506" s="106"/>
      <c r="L506" s="106"/>
      <c r="M506" s="106"/>
      <c r="N506" s="106"/>
      <c r="O506" s="106"/>
      <c r="P506" s="106"/>
      <c r="Q506" s="106"/>
      <c r="R506" s="106"/>
      <c r="S506" s="106"/>
      <c r="T506" s="106"/>
      <c r="U506" s="106"/>
      <c r="V506" s="106"/>
      <c r="W506" s="106"/>
      <c r="X506" s="106"/>
      <c r="Y506" s="106"/>
      <c r="Z506" s="106"/>
      <c r="AA506" s="106"/>
      <c r="AB506" s="106"/>
      <c r="AC506" s="106"/>
      <c r="AD506" s="106"/>
      <c r="AE506" s="106"/>
      <c r="AF506" s="106"/>
      <c r="AG506" s="106"/>
      <c r="AH506" s="106"/>
      <c r="AI506" s="106"/>
      <c r="AJ506" s="106"/>
    </row>
    <row r="507" spans="1:36" s="6" customFormat="1" ht="15" hidden="1" customHeight="1">
      <c r="A507" s="106"/>
      <c r="B507" s="106"/>
      <c r="C507" s="106"/>
      <c r="D507" s="106"/>
      <c r="E507" s="106"/>
      <c r="F507" s="106"/>
      <c r="G507" s="106"/>
      <c r="H507" s="106"/>
      <c r="I507" s="106"/>
      <c r="J507" s="106"/>
      <c r="K507" s="106"/>
      <c r="L507" s="106"/>
      <c r="M507" s="106"/>
      <c r="N507" s="106"/>
      <c r="O507" s="106"/>
      <c r="P507" s="106"/>
      <c r="Q507" s="106"/>
      <c r="R507" s="106"/>
      <c r="S507" s="106"/>
      <c r="T507" s="106"/>
      <c r="U507" s="106"/>
      <c r="V507" s="106"/>
      <c r="W507" s="106"/>
      <c r="X507" s="106"/>
      <c r="Y507" s="106"/>
      <c r="Z507" s="106"/>
      <c r="AA507" s="106"/>
      <c r="AB507" s="106"/>
      <c r="AC507" s="106"/>
      <c r="AD507" s="106"/>
      <c r="AE507" s="106"/>
      <c r="AF507" s="106"/>
      <c r="AG507" s="106"/>
      <c r="AH507" s="106"/>
      <c r="AI507" s="106"/>
      <c r="AJ507" s="106"/>
    </row>
    <row r="508" spans="1:36" s="6" customFormat="1" ht="15" hidden="1" customHeight="1">
      <c r="A508" s="106"/>
      <c r="B508" s="106"/>
      <c r="C508" s="106"/>
      <c r="D508" s="106"/>
      <c r="E508" s="106"/>
      <c r="F508" s="106"/>
      <c r="G508" s="106"/>
      <c r="H508" s="106"/>
      <c r="I508" s="106"/>
      <c r="J508" s="106"/>
      <c r="K508" s="106"/>
      <c r="L508" s="106"/>
      <c r="M508" s="106"/>
      <c r="N508" s="106"/>
      <c r="O508" s="106"/>
      <c r="P508" s="106"/>
      <c r="Q508" s="106"/>
      <c r="R508" s="106"/>
      <c r="S508" s="106"/>
      <c r="T508" s="106"/>
      <c r="U508" s="106"/>
      <c r="V508" s="106"/>
      <c r="W508" s="106"/>
      <c r="X508" s="106"/>
      <c r="Y508" s="106"/>
      <c r="Z508" s="106"/>
      <c r="AA508" s="106"/>
      <c r="AB508" s="106"/>
      <c r="AC508" s="106"/>
      <c r="AD508" s="106"/>
      <c r="AE508" s="106"/>
      <c r="AF508" s="106"/>
      <c r="AG508" s="106"/>
      <c r="AH508" s="106"/>
      <c r="AI508" s="106"/>
      <c r="AJ508" s="106"/>
    </row>
    <row r="509" spans="1:36" s="6" customFormat="1" ht="15" hidden="1" customHeight="1">
      <c r="A509" s="106"/>
      <c r="B509" s="106"/>
      <c r="C509" s="106"/>
      <c r="D509" s="106"/>
      <c r="E509" s="106"/>
      <c r="F509" s="106"/>
      <c r="G509" s="106"/>
      <c r="H509" s="106"/>
      <c r="I509" s="106"/>
      <c r="J509" s="106"/>
      <c r="K509" s="106"/>
      <c r="L509" s="106"/>
      <c r="M509" s="106"/>
      <c r="N509" s="106"/>
      <c r="O509" s="106"/>
      <c r="P509" s="106"/>
      <c r="Q509" s="106"/>
      <c r="R509" s="106"/>
      <c r="S509" s="106"/>
      <c r="T509" s="106"/>
      <c r="U509" s="106"/>
      <c r="V509" s="106"/>
      <c r="W509" s="106"/>
      <c r="X509" s="106"/>
      <c r="Y509" s="106"/>
      <c r="Z509" s="106"/>
      <c r="AA509" s="106"/>
      <c r="AB509" s="106"/>
      <c r="AC509" s="106"/>
      <c r="AD509" s="106"/>
      <c r="AE509" s="106"/>
      <c r="AF509" s="106"/>
      <c r="AG509" s="106"/>
      <c r="AH509" s="106"/>
      <c r="AI509" s="106"/>
      <c r="AJ509" s="106"/>
    </row>
    <row r="510" spans="1:36" s="6" customFormat="1" ht="15" hidden="1" customHeight="1">
      <c r="A510" s="106"/>
      <c r="B510" s="106"/>
      <c r="C510" s="106"/>
      <c r="D510" s="106"/>
      <c r="E510" s="106"/>
      <c r="F510" s="106"/>
      <c r="G510" s="106"/>
      <c r="H510" s="106"/>
      <c r="I510" s="106"/>
      <c r="J510" s="106"/>
      <c r="K510" s="106"/>
      <c r="L510" s="106"/>
      <c r="M510" s="106"/>
      <c r="N510" s="106"/>
      <c r="O510" s="106"/>
      <c r="P510" s="106"/>
      <c r="Q510" s="106"/>
      <c r="R510" s="106"/>
      <c r="S510" s="106"/>
      <c r="T510" s="106"/>
      <c r="U510" s="106"/>
      <c r="V510" s="106"/>
      <c r="W510" s="106"/>
      <c r="X510" s="106"/>
      <c r="Y510" s="106"/>
      <c r="Z510" s="106"/>
      <c r="AA510" s="106"/>
      <c r="AB510" s="106"/>
      <c r="AC510" s="106"/>
      <c r="AD510" s="106"/>
      <c r="AE510" s="106"/>
      <c r="AF510" s="106"/>
      <c r="AG510" s="106"/>
      <c r="AH510" s="106"/>
      <c r="AI510" s="106"/>
      <c r="AJ510" s="106"/>
    </row>
    <row r="511" spans="1:36" s="6" customFormat="1" ht="15" hidden="1" customHeight="1">
      <c r="A511" s="106"/>
      <c r="B511" s="106"/>
      <c r="C511" s="106"/>
      <c r="D511" s="106"/>
      <c r="E511" s="106"/>
      <c r="F511" s="106"/>
      <c r="G511" s="106"/>
      <c r="H511" s="106"/>
      <c r="I511" s="106"/>
      <c r="J511" s="106"/>
      <c r="K511" s="106"/>
      <c r="L511" s="106"/>
      <c r="M511" s="106"/>
      <c r="N511" s="106"/>
      <c r="O511" s="106"/>
      <c r="P511" s="106"/>
      <c r="Q511" s="106"/>
      <c r="R511" s="106"/>
      <c r="S511" s="106"/>
      <c r="T511" s="106"/>
      <c r="U511" s="106"/>
      <c r="V511" s="106"/>
      <c r="W511" s="106"/>
      <c r="X511" s="106"/>
      <c r="Y511" s="106"/>
      <c r="Z511" s="106"/>
      <c r="AA511" s="106"/>
      <c r="AB511" s="106"/>
      <c r="AC511" s="106"/>
      <c r="AD511" s="106"/>
      <c r="AE511" s="106"/>
      <c r="AF511" s="106"/>
      <c r="AG511" s="106"/>
      <c r="AH511" s="106"/>
      <c r="AI511" s="106"/>
      <c r="AJ511" s="106"/>
    </row>
    <row r="512" spans="1:36" s="6" customFormat="1" ht="15" hidden="1" customHeight="1">
      <c r="A512" s="106"/>
      <c r="B512" s="106"/>
      <c r="C512" s="106"/>
      <c r="D512" s="106"/>
      <c r="E512" s="106"/>
      <c r="F512" s="106"/>
      <c r="G512" s="106"/>
      <c r="H512" s="106"/>
      <c r="I512" s="106"/>
      <c r="J512" s="106"/>
      <c r="K512" s="106"/>
      <c r="L512" s="106"/>
      <c r="M512" s="106"/>
      <c r="N512" s="106"/>
      <c r="O512" s="106"/>
      <c r="P512" s="106"/>
      <c r="Q512" s="106"/>
      <c r="R512" s="106"/>
      <c r="S512" s="106"/>
      <c r="T512" s="106"/>
      <c r="U512" s="106"/>
      <c r="V512" s="106"/>
      <c r="W512" s="106"/>
      <c r="X512" s="106"/>
      <c r="Y512" s="106"/>
      <c r="Z512" s="106"/>
      <c r="AA512" s="106"/>
      <c r="AB512" s="106"/>
      <c r="AC512" s="106"/>
      <c r="AD512" s="106"/>
      <c r="AE512" s="106"/>
      <c r="AF512" s="106"/>
      <c r="AG512" s="106"/>
      <c r="AH512" s="106"/>
      <c r="AI512" s="106"/>
      <c r="AJ512" s="106"/>
    </row>
    <row r="513" spans="1:36" s="6" customFormat="1" ht="15" hidden="1" customHeight="1">
      <c r="A513" s="106"/>
      <c r="B513" s="106"/>
      <c r="C513" s="106"/>
      <c r="D513" s="106"/>
      <c r="E513" s="106"/>
      <c r="F513" s="106"/>
      <c r="G513" s="106"/>
      <c r="H513" s="106"/>
      <c r="I513" s="106"/>
      <c r="J513" s="106"/>
      <c r="K513" s="106"/>
      <c r="L513" s="106"/>
      <c r="M513" s="106"/>
      <c r="N513" s="106"/>
      <c r="O513" s="106"/>
      <c r="P513" s="106"/>
      <c r="Q513" s="106"/>
      <c r="R513" s="106"/>
      <c r="S513" s="106"/>
      <c r="T513" s="106"/>
      <c r="U513" s="106"/>
      <c r="V513" s="106"/>
      <c r="W513" s="106"/>
      <c r="X513" s="106"/>
      <c r="Y513" s="106"/>
      <c r="Z513" s="106"/>
      <c r="AA513" s="106"/>
      <c r="AB513" s="106"/>
      <c r="AC513" s="106"/>
      <c r="AD513" s="106"/>
      <c r="AE513" s="106"/>
      <c r="AF513" s="106"/>
      <c r="AG513" s="106"/>
      <c r="AH513" s="106"/>
      <c r="AI513" s="106"/>
      <c r="AJ513" s="106"/>
    </row>
    <row r="514" spans="1:36" s="6" customFormat="1" ht="15" hidden="1" customHeight="1">
      <c r="A514" s="106"/>
      <c r="B514" s="106"/>
      <c r="C514" s="106"/>
      <c r="D514" s="106"/>
      <c r="E514" s="106"/>
      <c r="F514" s="106"/>
      <c r="G514" s="106"/>
      <c r="H514" s="106"/>
      <c r="I514" s="106"/>
      <c r="J514" s="106"/>
      <c r="K514" s="106"/>
      <c r="L514" s="106"/>
      <c r="M514" s="106"/>
      <c r="N514" s="106"/>
      <c r="O514" s="106"/>
      <c r="P514" s="106"/>
      <c r="Q514" s="106"/>
      <c r="R514" s="106"/>
      <c r="S514" s="106"/>
      <c r="T514" s="106"/>
      <c r="U514" s="106"/>
      <c r="V514" s="106"/>
      <c r="W514" s="106"/>
      <c r="X514" s="106"/>
      <c r="Y514" s="106"/>
      <c r="Z514" s="106"/>
      <c r="AA514" s="106"/>
      <c r="AB514" s="106"/>
      <c r="AC514" s="106"/>
      <c r="AD514" s="106"/>
      <c r="AE514" s="106"/>
      <c r="AF514" s="106"/>
      <c r="AG514" s="106"/>
      <c r="AH514" s="106"/>
      <c r="AI514" s="106"/>
      <c r="AJ514" s="106"/>
    </row>
    <row r="515" spans="1:36" s="6" customFormat="1" ht="15" hidden="1" customHeight="1">
      <c r="A515" s="106"/>
      <c r="B515" s="106"/>
      <c r="C515" s="106"/>
      <c r="D515" s="106"/>
      <c r="E515" s="106"/>
      <c r="F515" s="106"/>
      <c r="G515" s="106"/>
      <c r="H515" s="106"/>
      <c r="I515" s="106"/>
      <c r="J515" s="106"/>
      <c r="K515" s="106"/>
      <c r="L515" s="106"/>
      <c r="M515" s="106"/>
      <c r="N515" s="106"/>
      <c r="O515" s="106"/>
      <c r="P515" s="106"/>
      <c r="Q515" s="106"/>
      <c r="R515" s="106"/>
      <c r="S515" s="106"/>
      <c r="T515" s="106"/>
      <c r="U515" s="106"/>
      <c r="V515" s="106"/>
      <c r="W515" s="106"/>
      <c r="X515" s="106"/>
      <c r="Y515" s="106"/>
      <c r="Z515" s="106"/>
      <c r="AA515" s="106"/>
      <c r="AB515" s="106"/>
      <c r="AC515" s="106"/>
      <c r="AD515" s="106"/>
      <c r="AE515" s="106"/>
      <c r="AF515" s="106"/>
      <c r="AG515" s="106"/>
      <c r="AH515" s="106"/>
      <c r="AI515" s="106"/>
      <c r="AJ515" s="106"/>
    </row>
    <row r="516" spans="1:36" s="6" customFormat="1" ht="15" hidden="1" customHeight="1">
      <c r="A516" s="106"/>
      <c r="B516" s="106"/>
      <c r="C516" s="106"/>
      <c r="D516" s="106"/>
      <c r="E516" s="106"/>
      <c r="F516" s="106"/>
      <c r="G516" s="106"/>
      <c r="H516" s="106"/>
      <c r="I516" s="106"/>
      <c r="J516" s="106"/>
      <c r="K516" s="106"/>
      <c r="L516" s="106"/>
      <c r="M516" s="106"/>
      <c r="N516" s="106"/>
      <c r="O516" s="106"/>
      <c r="P516" s="106"/>
      <c r="Q516" s="106"/>
      <c r="R516" s="106"/>
      <c r="S516" s="106"/>
      <c r="T516" s="106"/>
      <c r="U516" s="106"/>
      <c r="V516" s="106"/>
      <c r="W516" s="106"/>
      <c r="X516" s="106"/>
      <c r="Y516" s="106"/>
      <c r="Z516" s="106"/>
      <c r="AA516" s="106"/>
      <c r="AB516" s="106"/>
      <c r="AC516" s="106"/>
      <c r="AD516" s="106"/>
      <c r="AE516" s="106"/>
      <c r="AF516" s="106"/>
      <c r="AG516" s="106"/>
      <c r="AH516" s="106"/>
      <c r="AI516" s="106"/>
      <c r="AJ516" s="106"/>
    </row>
    <row r="517" spans="1:36" s="6" customFormat="1" ht="15" hidden="1" customHeight="1">
      <c r="A517" s="106"/>
      <c r="B517" s="106"/>
      <c r="C517" s="106"/>
      <c r="D517" s="106"/>
      <c r="E517" s="106"/>
      <c r="F517" s="106"/>
      <c r="G517" s="106"/>
      <c r="H517" s="106"/>
      <c r="I517" s="106"/>
      <c r="J517" s="106"/>
      <c r="K517" s="106"/>
      <c r="L517" s="106"/>
      <c r="M517" s="106"/>
      <c r="N517" s="106"/>
      <c r="O517" s="106"/>
      <c r="P517" s="106"/>
      <c r="Q517" s="106"/>
      <c r="R517" s="106"/>
      <c r="S517" s="106"/>
      <c r="T517" s="106"/>
      <c r="U517" s="106"/>
      <c r="V517" s="106"/>
      <c r="W517" s="106"/>
      <c r="X517" s="106"/>
      <c r="Y517" s="106"/>
      <c r="Z517" s="106"/>
      <c r="AA517" s="106"/>
      <c r="AB517" s="106"/>
      <c r="AC517" s="106"/>
      <c r="AD517" s="106"/>
      <c r="AE517" s="106"/>
      <c r="AF517" s="106"/>
      <c r="AG517" s="106"/>
      <c r="AH517" s="106"/>
      <c r="AI517" s="106"/>
      <c r="AJ517" s="106"/>
    </row>
    <row r="518" spans="1:36" s="6" customFormat="1" ht="15" hidden="1" customHeight="1">
      <c r="A518" s="106"/>
      <c r="B518" s="106"/>
      <c r="C518" s="106"/>
      <c r="D518" s="106"/>
      <c r="E518" s="106"/>
      <c r="F518" s="106"/>
      <c r="G518" s="106"/>
      <c r="H518" s="106"/>
      <c r="I518" s="106"/>
      <c r="J518" s="106"/>
      <c r="K518" s="106"/>
      <c r="L518" s="106"/>
      <c r="M518" s="106"/>
      <c r="N518" s="106"/>
      <c r="O518" s="106"/>
      <c r="P518" s="106"/>
      <c r="Q518" s="106"/>
      <c r="R518" s="106"/>
      <c r="S518" s="106"/>
      <c r="T518" s="106"/>
      <c r="U518" s="106"/>
      <c r="V518" s="106"/>
      <c r="W518" s="106"/>
      <c r="X518" s="106"/>
      <c r="Y518" s="106"/>
      <c r="Z518" s="106"/>
      <c r="AA518" s="106"/>
      <c r="AB518" s="106"/>
      <c r="AC518" s="106"/>
      <c r="AD518" s="106"/>
      <c r="AE518" s="106"/>
      <c r="AF518" s="106"/>
      <c r="AG518" s="106"/>
      <c r="AH518" s="106"/>
      <c r="AI518" s="106"/>
      <c r="AJ518" s="106"/>
    </row>
    <row r="519" spans="1:36" s="6" customFormat="1" ht="15" hidden="1" customHeight="1">
      <c r="A519" s="106"/>
      <c r="B519" s="106"/>
      <c r="C519" s="106"/>
      <c r="D519" s="106"/>
      <c r="E519" s="106"/>
      <c r="F519" s="106"/>
      <c r="G519" s="106"/>
      <c r="H519" s="106"/>
      <c r="I519" s="106"/>
      <c r="J519" s="106"/>
      <c r="K519" s="106"/>
      <c r="L519" s="106"/>
      <c r="M519" s="106"/>
      <c r="N519" s="106"/>
      <c r="O519" s="106"/>
      <c r="P519" s="106"/>
      <c r="Q519" s="106"/>
      <c r="R519" s="106"/>
      <c r="S519" s="106"/>
      <c r="T519" s="106"/>
      <c r="U519" s="106"/>
      <c r="V519" s="106"/>
      <c r="W519" s="106"/>
      <c r="X519" s="106"/>
      <c r="Y519" s="106"/>
      <c r="Z519" s="106"/>
      <c r="AA519" s="106"/>
      <c r="AB519" s="106"/>
      <c r="AC519" s="106"/>
      <c r="AD519" s="106"/>
      <c r="AE519" s="106"/>
      <c r="AF519" s="106"/>
      <c r="AG519" s="106"/>
      <c r="AH519" s="106"/>
      <c r="AI519" s="106"/>
      <c r="AJ519" s="106"/>
    </row>
    <row r="520" spans="1:36" s="6" customFormat="1" ht="15" hidden="1" customHeight="1">
      <c r="A520" s="106"/>
      <c r="B520" s="106"/>
      <c r="C520" s="106"/>
      <c r="D520" s="106"/>
      <c r="E520" s="106"/>
      <c r="F520" s="106"/>
      <c r="G520" s="106"/>
      <c r="H520" s="106"/>
      <c r="I520" s="106"/>
      <c r="J520" s="106"/>
      <c r="K520" s="106"/>
      <c r="L520" s="106"/>
      <c r="M520" s="106"/>
      <c r="N520" s="106"/>
      <c r="O520" s="106"/>
      <c r="P520" s="106"/>
      <c r="Q520" s="106"/>
      <c r="R520" s="106"/>
      <c r="S520" s="106"/>
      <c r="T520" s="106"/>
      <c r="U520" s="106"/>
      <c r="V520" s="106"/>
      <c r="W520" s="106"/>
      <c r="X520" s="106"/>
      <c r="Y520" s="106"/>
      <c r="Z520" s="106"/>
      <c r="AA520" s="106"/>
      <c r="AB520" s="106"/>
      <c r="AC520" s="106"/>
      <c r="AD520" s="106"/>
      <c r="AE520" s="106"/>
      <c r="AF520" s="106"/>
      <c r="AG520" s="106"/>
      <c r="AH520" s="106"/>
      <c r="AI520" s="106"/>
      <c r="AJ520" s="106"/>
    </row>
    <row r="521" spans="1:36" s="6" customFormat="1" ht="15" hidden="1" customHeight="1">
      <c r="A521" s="106"/>
      <c r="B521" s="106"/>
      <c r="C521" s="106"/>
      <c r="D521" s="106"/>
      <c r="E521" s="106"/>
      <c r="F521" s="106"/>
      <c r="G521" s="106"/>
      <c r="H521" s="106"/>
      <c r="I521" s="106"/>
      <c r="J521" s="106"/>
      <c r="K521" s="106"/>
      <c r="L521" s="106"/>
      <c r="M521" s="106"/>
      <c r="N521" s="106"/>
      <c r="O521" s="106"/>
      <c r="P521" s="106"/>
      <c r="Q521" s="106"/>
      <c r="R521" s="106"/>
      <c r="S521" s="106"/>
      <c r="T521" s="106"/>
      <c r="U521" s="106"/>
      <c r="V521" s="106"/>
      <c r="W521" s="106"/>
      <c r="X521" s="106"/>
      <c r="Y521" s="106"/>
      <c r="Z521" s="106"/>
      <c r="AA521" s="106"/>
      <c r="AB521" s="106"/>
      <c r="AC521" s="106"/>
      <c r="AD521" s="106"/>
      <c r="AE521" s="106"/>
      <c r="AF521" s="106"/>
      <c r="AG521" s="106"/>
      <c r="AH521" s="106"/>
      <c r="AI521" s="106"/>
      <c r="AJ521" s="106"/>
    </row>
    <row r="522" spans="1:36" s="6" customFormat="1" ht="15" hidden="1" customHeight="1">
      <c r="A522" s="106"/>
      <c r="B522" s="106"/>
      <c r="C522" s="106"/>
      <c r="D522" s="106"/>
      <c r="E522" s="106"/>
      <c r="F522" s="106"/>
      <c r="G522" s="106"/>
      <c r="H522" s="106"/>
      <c r="I522" s="106"/>
      <c r="J522" s="106"/>
      <c r="K522" s="106"/>
      <c r="L522" s="106"/>
      <c r="M522" s="106"/>
      <c r="N522" s="106"/>
      <c r="O522" s="106"/>
      <c r="P522" s="106"/>
      <c r="Q522" s="106"/>
      <c r="R522" s="106"/>
      <c r="S522" s="106"/>
      <c r="T522" s="106"/>
      <c r="U522" s="106"/>
      <c r="V522" s="106"/>
      <c r="W522" s="106"/>
      <c r="X522" s="106"/>
      <c r="Y522" s="106"/>
      <c r="Z522" s="106"/>
      <c r="AA522" s="106"/>
      <c r="AB522" s="106"/>
      <c r="AC522" s="106"/>
      <c r="AD522" s="106"/>
      <c r="AE522" s="106"/>
      <c r="AF522" s="106"/>
      <c r="AG522" s="106"/>
      <c r="AH522" s="106"/>
      <c r="AI522" s="106"/>
      <c r="AJ522" s="106"/>
    </row>
    <row r="523" spans="1:36" s="6" customFormat="1" ht="15" hidden="1" customHeight="1">
      <c r="A523" s="106"/>
      <c r="B523" s="106"/>
      <c r="C523" s="106"/>
      <c r="D523" s="106"/>
      <c r="E523" s="106"/>
      <c r="F523" s="106"/>
      <c r="G523" s="106"/>
      <c r="H523" s="106"/>
      <c r="I523" s="106"/>
      <c r="J523" s="106"/>
      <c r="K523" s="106"/>
      <c r="L523" s="106"/>
      <c r="M523" s="106"/>
      <c r="N523" s="106"/>
      <c r="O523" s="106"/>
      <c r="P523" s="106"/>
      <c r="Q523" s="106"/>
      <c r="R523" s="106"/>
      <c r="S523" s="106"/>
      <c r="T523" s="106"/>
      <c r="U523" s="106"/>
      <c r="V523" s="106"/>
      <c r="W523" s="106"/>
      <c r="X523" s="106"/>
      <c r="Y523" s="106"/>
      <c r="Z523" s="106"/>
      <c r="AA523" s="106"/>
      <c r="AB523" s="106"/>
      <c r="AC523" s="106"/>
      <c r="AD523" s="106"/>
      <c r="AE523" s="106"/>
      <c r="AF523" s="106"/>
      <c r="AG523" s="106"/>
      <c r="AH523" s="106"/>
      <c r="AI523" s="106"/>
      <c r="AJ523" s="106"/>
    </row>
    <row r="524" spans="1:36" s="6" customFormat="1" ht="15" hidden="1" customHeight="1">
      <c r="A524" s="106"/>
      <c r="B524" s="106"/>
      <c r="C524" s="106"/>
      <c r="D524" s="106"/>
      <c r="E524" s="106"/>
      <c r="F524" s="106"/>
      <c r="G524" s="106"/>
      <c r="H524" s="106"/>
      <c r="I524" s="106"/>
      <c r="J524" s="106"/>
      <c r="K524" s="106"/>
      <c r="L524" s="106"/>
      <c r="M524" s="106"/>
      <c r="N524" s="106"/>
      <c r="O524" s="106"/>
      <c r="P524" s="106"/>
      <c r="Q524" s="106"/>
      <c r="R524" s="106"/>
      <c r="S524" s="106"/>
      <c r="T524" s="106"/>
      <c r="U524" s="106"/>
      <c r="V524" s="106"/>
      <c r="W524" s="106"/>
      <c r="X524" s="106"/>
      <c r="Y524" s="106"/>
      <c r="Z524" s="106"/>
      <c r="AA524" s="106"/>
      <c r="AB524" s="106"/>
      <c r="AC524" s="106"/>
      <c r="AD524" s="106"/>
      <c r="AE524" s="106"/>
      <c r="AF524" s="106"/>
      <c r="AG524" s="106"/>
      <c r="AH524" s="106"/>
      <c r="AI524" s="106"/>
      <c r="AJ524" s="106"/>
    </row>
    <row r="525" spans="1:36" s="6" customFormat="1" ht="15" hidden="1" customHeight="1">
      <c r="A525" s="106"/>
      <c r="B525" s="106"/>
      <c r="C525" s="106"/>
      <c r="D525" s="106"/>
      <c r="E525" s="106"/>
      <c r="F525" s="106"/>
      <c r="G525" s="106"/>
      <c r="H525" s="106"/>
      <c r="I525" s="106"/>
      <c r="J525" s="106"/>
      <c r="K525" s="106"/>
      <c r="L525" s="106"/>
      <c r="M525" s="106"/>
      <c r="N525" s="106"/>
      <c r="O525" s="106"/>
      <c r="P525" s="106"/>
      <c r="Q525" s="106"/>
      <c r="R525" s="106"/>
      <c r="S525" s="106"/>
      <c r="T525" s="106"/>
      <c r="U525" s="106"/>
      <c r="V525" s="106"/>
      <c r="W525" s="106"/>
      <c r="X525" s="106"/>
      <c r="Y525" s="106"/>
      <c r="Z525" s="106"/>
      <c r="AA525" s="106"/>
      <c r="AB525" s="106"/>
      <c r="AC525" s="106"/>
      <c r="AD525" s="106"/>
      <c r="AE525" s="106"/>
      <c r="AF525" s="106"/>
      <c r="AG525" s="106"/>
      <c r="AH525" s="106"/>
      <c r="AI525" s="106"/>
      <c r="AJ525" s="106"/>
    </row>
    <row r="526" spans="1:36" s="6" customFormat="1" ht="15" hidden="1" customHeight="1">
      <c r="A526" s="106"/>
      <c r="B526" s="106"/>
      <c r="C526" s="106"/>
      <c r="D526" s="106"/>
      <c r="E526" s="106"/>
      <c r="F526" s="106"/>
      <c r="G526" s="106"/>
      <c r="H526" s="106"/>
      <c r="I526" s="106"/>
      <c r="J526" s="106"/>
      <c r="K526" s="106"/>
      <c r="L526" s="106"/>
      <c r="M526" s="106"/>
      <c r="N526" s="106"/>
      <c r="O526" s="106"/>
      <c r="P526" s="106"/>
      <c r="Q526" s="106"/>
      <c r="R526" s="106"/>
      <c r="S526" s="106"/>
      <c r="T526" s="106"/>
      <c r="U526" s="106"/>
      <c r="V526" s="106"/>
      <c r="W526" s="106"/>
      <c r="X526" s="106"/>
      <c r="Y526" s="106"/>
      <c r="Z526" s="106"/>
      <c r="AA526" s="106"/>
      <c r="AB526" s="106"/>
      <c r="AC526" s="106"/>
      <c r="AD526" s="106"/>
      <c r="AE526" s="106"/>
      <c r="AF526" s="106"/>
      <c r="AG526" s="106"/>
      <c r="AH526" s="106"/>
      <c r="AI526" s="106"/>
      <c r="AJ526" s="106"/>
    </row>
    <row r="527" spans="1:36" s="6" customFormat="1" ht="15" hidden="1" customHeight="1">
      <c r="A527" s="106"/>
      <c r="B527" s="106"/>
      <c r="C527" s="106"/>
      <c r="D527" s="106"/>
      <c r="E527" s="106"/>
      <c r="F527" s="106"/>
      <c r="G527" s="106"/>
      <c r="H527" s="106"/>
      <c r="I527" s="106"/>
      <c r="J527" s="106"/>
      <c r="K527" s="106"/>
      <c r="L527" s="106"/>
      <c r="M527" s="106"/>
      <c r="N527" s="106"/>
      <c r="O527" s="106"/>
      <c r="P527" s="106"/>
      <c r="Q527" s="106"/>
      <c r="R527" s="106"/>
      <c r="S527" s="106"/>
      <c r="T527" s="106"/>
      <c r="U527" s="106"/>
      <c r="V527" s="106"/>
      <c r="W527" s="106"/>
      <c r="X527" s="106"/>
      <c r="Y527" s="106"/>
      <c r="Z527" s="106"/>
      <c r="AA527" s="106"/>
      <c r="AB527" s="106"/>
      <c r="AC527" s="106"/>
      <c r="AD527" s="106"/>
      <c r="AE527" s="106"/>
      <c r="AF527" s="106"/>
      <c r="AG527" s="106"/>
      <c r="AH527" s="106"/>
      <c r="AI527" s="106"/>
      <c r="AJ527" s="106"/>
    </row>
    <row r="528" spans="1:36" s="6" customFormat="1" ht="15" hidden="1" customHeight="1">
      <c r="A528" s="106"/>
      <c r="B528" s="106"/>
      <c r="C528" s="106"/>
      <c r="D528" s="106"/>
      <c r="E528" s="106"/>
      <c r="F528" s="106"/>
      <c r="G528" s="106"/>
      <c r="H528" s="106"/>
      <c r="I528" s="106"/>
      <c r="J528" s="106"/>
      <c r="K528" s="106"/>
      <c r="L528" s="106"/>
      <c r="M528" s="106"/>
      <c r="N528" s="106"/>
      <c r="O528" s="106"/>
      <c r="P528" s="106"/>
      <c r="Q528" s="106"/>
      <c r="R528" s="106"/>
      <c r="S528" s="106"/>
      <c r="T528" s="106"/>
      <c r="U528" s="106"/>
      <c r="V528" s="106"/>
      <c r="W528" s="106"/>
      <c r="X528" s="106"/>
      <c r="Y528" s="106"/>
      <c r="Z528" s="106"/>
      <c r="AA528" s="106"/>
      <c r="AB528" s="106"/>
      <c r="AC528" s="106"/>
      <c r="AD528" s="106"/>
      <c r="AE528" s="106"/>
      <c r="AF528" s="106"/>
      <c r="AG528" s="106"/>
      <c r="AH528" s="106"/>
      <c r="AI528" s="106"/>
      <c r="AJ528" s="106"/>
    </row>
    <row r="529" spans="1:36" s="6" customFormat="1" ht="15" hidden="1" customHeight="1">
      <c r="A529" s="106"/>
      <c r="B529" s="106"/>
      <c r="C529" s="106"/>
      <c r="D529" s="106"/>
      <c r="E529" s="106"/>
      <c r="F529" s="106"/>
      <c r="G529" s="106"/>
      <c r="H529" s="106"/>
      <c r="I529" s="106"/>
      <c r="J529" s="106"/>
      <c r="K529" s="106"/>
      <c r="L529" s="106"/>
      <c r="M529" s="106"/>
      <c r="N529" s="106"/>
      <c r="O529" s="106"/>
      <c r="P529" s="106"/>
      <c r="Q529" s="106"/>
      <c r="R529" s="106"/>
      <c r="S529" s="106"/>
      <c r="T529" s="106"/>
      <c r="U529" s="106"/>
      <c r="V529" s="106"/>
      <c r="W529" s="106"/>
      <c r="X529" s="106"/>
      <c r="Y529" s="106"/>
      <c r="Z529" s="106"/>
      <c r="AA529" s="106"/>
      <c r="AB529" s="106"/>
      <c r="AC529" s="106"/>
      <c r="AD529" s="106"/>
      <c r="AE529" s="106"/>
      <c r="AF529" s="106"/>
      <c r="AG529" s="106"/>
      <c r="AH529" s="106"/>
      <c r="AI529" s="106"/>
      <c r="AJ529" s="106"/>
    </row>
    <row r="530" spans="1:36" s="6" customFormat="1" ht="15" hidden="1" customHeight="1">
      <c r="A530" s="106"/>
      <c r="B530" s="106"/>
      <c r="C530" s="106"/>
      <c r="D530" s="106"/>
      <c r="E530" s="106"/>
      <c r="F530" s="106"/>
      <c r="G530" s="106"/>
      <c r="H530" s="106"/>
      <c r="I530" s="106"/>
      <c r="J530" s="106"/>
      <c r="K530" s="106"/>
      <c r="L530" s="106"/>
      <c r="M530" s="106"/>
      <c r="N530" s="106"/>
      <c r="O530" s="106"/>
      <c r="P530" s="106"/>
      <c r="Q530" s="106"/>
      <c r="R530" s="106"/>
      <c r="S530" s="106"/>
      <c r="T530" s="106"/>
      <c r="U530" s="106"/>
      <c r="V530" s="106"/>
      <c r="W530" s="106"/>
      <c r="X530" s="106"/>
      <c r="Y530" s="106"/>
      <c r="Z530" s="106"/>
      <c r="AA530" s="106"/>
      <c r="AB530" s="106"/>
      <c r="AC530" s="106"/>
      <c r="AD530" s="106"/>
      <c r="AE530" s="106"/>
      <c r="AF530" s="106"/>
      <c r="AG530" s="106"/>
      <c r="AH530" s="106"/>
      <c r="AI530" s="106"/>
      <c r="AJ530" s="106"/>
    </row>
    <row r="531" spans="1:36" s="6" customFormat="1" ht="15" hidden="1" customHeight="1">
      <c r="A531" s="106"/>
      <c r="B531" s="106"/>
      <c r="C531" s="106"/>
      <c r="D531" s="106"/>
      <c r="E531" s="106"/>
      <c r="F531" s="106"/>
      <c r="G531" s="106"/>
      <c r="H531" s="106"/>
      <c r="I531" s="106"/>
      <c r="J531" s="106"/>
      <c r="K531" s="106"/>
      <c r="L531" s="106"/>
      <c r="M531" s="106"/>
      <c r="N531" s="106"/>
      <c r="O531" s="106"/>
      <c r="P531" s="106"/>
      <c r="Q531" s="106"/>
      <c r="R531" s="106"/>
      <c r="S531" s="106"/>
      <c r="T531" s="106"/>
      <c r="U531" s="106"/>
      <c r="V531" s="106"/>
      <c r="W531" s="106"/>
      <c r="X531" s="106"/>
      <c r="Y531" s="106"/>
      <c r="Z531" s="106"/>
      <c r="AA531" s="106"/>
      <c r="AB531" s="106"/>
      <c r="AC531" s="106"/>
      <c r="AD531" s="106"/>
      <c r="AE531" s="106"/>
      <c r="AF531" s="106"/>
      <c r="AG531" s="106"/>
      <c r="AH531" s="106"/>
      <c r="AI531" s="106"/>
      <c r="AJ531" s="106"/>
    </row>
    <row r="532" spans="1:36" s="6" customFormat="1" ht="15" hidden="1" customHeight="1">
      <c r="A532" s="106"/>
      <c r="B532" s="106"/>
      <c r="C532" s="106"/>
      <c r="D532" s="106"/>
      <c r="E532" s="106"/>
      <c r="F532" s="106"/>
      <c r="G532" s="106"/>
      <c r="H532" s="106"/>
      <c r="I532" s="106"/>
      <c r="J532" s="106"/>
      <c r="K532" s="106"/>
      <c r="L532" s="106"/>
      <c r="M532" s="106"/>
      <c r="N532" s="106"/>
      <c r="O532" s="106"/>
      <c r="P532" s="106"/>
      <c r="Q532" s="106"/>
      <c r="R532" s="106"/>
      <c r="S532" s="106"/>
      <c r="T532" s="106"/>
      <c r="U532" s="106"/>
      <c r="V532" s="106"/>
      <c r="W532" s="106"/>
      <c r="X532" s="106"/>
      <c r="Y532" s="106"/>
      <c r="Z532" s="106"/>
      <c r="AA532" s="106"/>
      <c r="AB532" s="106"/>
      <c r="AC532" s="106"/>
      <c r="AD532" s="106"/>
      <c r="AE532" s="106"/>
      <c r="AF532" s="106"/>
      <c r="AG532" s="106"/>
      <c r="AH532" s="106"/>
      <c r="AI532" s="106"/>
      <c r="AJ532" s="106"/>
    </row>
    <row r="533" spans="1:36" s="6" customFormat="1" ht="15" hidden="1" customHeight="1">
      <c r="A533" s="106"/>
      <c r="B533" s="106"/>
      <c r="C533" s="106"/>
      <c r="D533" s="106"/>
      <c r="E533" s="106"/>
      <c r="F533" s="106"/>
      <c r="G533" s="106"/>
      <c r="H533" s="106"/>
      <c r="I533" s="106"/>
      <c r="J533" s="106"/>
      <c r="K533" s="106"/>
      <c r="L533" s="106"/>
      <c r="M533" s="106"/>
      <c r="N533" s="106"/>
      <c r="O533" s="106"/>
      <c r="P533" s="106"/>
      <c r="Q533" s="106"/>
      <c r="R533" s="106"/>
      <c r="S533" s="106"/>
      <c r="T533" s="106"/>
      <c r="U533" s="106"/>
      <c r="V533" s="106"/>
      <c r="W533" s="106"/>
      <c r="X533" s="106"/>
      <c r="Y533" s="106"/>
      <c r="Z533" s="106"/>
      <c r="AA533" s="106"/>
      <c r="AB533" s="106"/>
      <c r="AC533" s="106"/>
      <c r="AD533" s="106"/>
      <c r="AE533" s="106"/>
      <c r="AF533" s="106"/>
      <c r="AG533" s="106"/>
      <c r="AH533" s="106"/>
      <c r="AI533" s="106"/>
      <c r="AJ533" s="106"/>
    </row>
    <row r="534" spans="1:36" s="6" customFormat="1" ht="15" hidden="1" customHeight="1">
      <c r="A534" s="106"/>
      <c r="B534" s="106"/>
      <c r="C534" s="106"/>
      <c r="D534" s="106"/>
      <c r="E534" s="106"/>
      <c r="F534" s="106"/>
      <c r="G534" s="106"/>
      <c r="H534" s="106"/>
      <c r="I534" s="106"/>
      <c r="J534" s="106"/>
      <c r="K534" s="106"/>
      <c r="L534" s="106"/>
      <c r="M534" s="106"/>
      <c r="N534" s="106"/>
      <c r="O534" s="106"/>
      <c r="P534" s="106"/>
      <c r="Q534" s="106"/>
      <c r="R534" s="106"/>
      <c r="S534" s="106"/>
      <c r="T534" s="106"/>
      <c r="U534" s="106"/>
      <c r="V534" s="106"/>
      <c r="W534" s="106"/>
      <c r="X534" s="106"/>
      <c r="Y534" s="106"/>
      <c r="Z534" s="106"/>
      <c r="AA534" s="106"/>
      <c r="AB534" s="106"/>
      <c r="AC534" s="106"/>
      <c r="AD534" s="106"/>
      <c r="AE534" s="106"/>
      <c r="AF534" s="106"/>
      <c r="AG534" s="106"/>
      <c r="AH534" s="106"/>
      <c r="AI534" s="106"/>
      <c r="AJ534" s="106"/>
    </row>
    <row r="535" spans="1:36" s="6" customFormat="1" ht="15" hidden="1" customHeight="1">
      <c r="A535" s="106"/>
      <c r="B535" s="106"/>
      <c r="C535" s="106"/>
      <c r="D535" s="106"/>
      <c r="E535" s="106"/>
      <c r="F535" s="106"/>
      <c r="G535" s="106"/>
      <c r="H535" s="106"/>
      <c r="I535" s="106"/>
      <c r="J535" s="106"/>
      <c r="K535" s="106"/>
      <c r="L535" s="106"/>
      <c r="M535" s="106"/>
      <c r="N535" s="106"/>
      <c r="O535" s="106"/>
      <c r="P535" s="106"/>
      <c r="Q535" s="106"/>
      <c r="R535" s="106"/>
      <c r="S535" s="106"/>
      <c r="T535" s="106"/>
      <c r="U535" s="106"/>
      <c r="V535" s="106"/>
      <c r="W535" s="106"/>
      <c r="X535" s="106"/>
      <c r="Y535" s="106"/>
      <c r="Z535" s="106"/>
      <c r="AA535" s="106"/>
      <c r="AB535" s="106"/>
      <c r="AC535" s="106"/>
      <c r="AD535" s="106"/>
      <c r="AE535" s="106"/>
      <c r="AF535" s="106"/>
      <c r="AG535" s="106"/>
      <c r="AH535" s="106"/>
      <c r="AI535" s="106"/>
      <c r="AJ535" s="106"/>
    </row>
    <row r="536" spans="1:36" s="6" customFormat="1" ht="15" hidden="1" customHeight="1">
      <c r="A536" s="106"/>
      <c r="B536" s="106"/>
      <c r="C536" s="106"/>
      <c r="D536" s="106"/>
      <c r="E536" s="106"/>
      <c r="F536" s="106"/>
      <c r="G536" s="106"/>
      <c r="H536" s="106"/>
      <c r="I536" s="106"/>
      <c r="J536" s="106"/>
      <c r="K536" s="106"/>
      <c r="L536" s="106"/>
      <c r="M536" s="106"/>
      <c r="N536" s="106"/>
      <c r="O536" s="106"/>
      <c r="P536" s="106"/>
      <c r="Q536" s="106"/>
      <c r="R536" s="106"/>
      <c r="S536" s="106"/>
      <c r="T536" s="106"/>
      <c r="U536" s="106"/>
      <c r="V536" s="106"/>
      <c r="W536" s="106"/>
      <c r="X536" s="106"/>
      <c r="Y536" s="106"/>
      <c r="Z536" s="106"/>
      <c r="AA536" s="106"/>
      <c r="AB536" s="106"/>
      <c r="AC536" s="106"/>
      <c r="AD536" s="106"/>
      <c r="AE536" s="106"/>
      <c r="AF536" s="106"/>
      <c r="AG536" s="106"/>
      <c r="AH536" s="106"/>
      <c r="AI536" s="106"/>
      <c r="AJ536" s="106"/>
    </row>
    <row r="537" spans="1:36" s="6" customFormat="1" ht="15" hidden="1" customHeight="1">
      <c r="A537" s="106"/>
      <c r="B537" s="106"/>
      <c r="C537" s="106"/>
      <c r="D537" s="106"/>
      <c r="E537" s="106"/>
      <c r="F537" s="106"/>
      <c r="G537" s="106"/>
      <c r="H537" s="106"/>
      <c r="I537" s="106"/>
      <c r="J537" s="106"/>
      <c r="K537" s="106"/>
      <c r="L537" s="106"/>
      <c r="M537" s="106"/>
      <c r="N537" s="106"/>
      <c r="O537" s="106"/>
      <c r="P537" s="106"/>
      <c r="Q537" s="106"/>
      <c r="R537" s="106"/>
      <c r="S537" s="106"/>
      <c r="T537" s="106"/>
      <c r="U537" s="106"/>
      <c r="V537" s="106"/>
      <c r="W537" s="106"/>
      <c r="X537" s="106"/>
      <c r="Y537" s="106"/>
      <c r="Z537" s="106"/>
      <c r="AA537" s="106"/>
      <c r="AB537" s="106"/>
      <c r="AC537" s="106"/>
      <c r="AD537" s="106"/>
      <c r="AE537" s="106"/>
      <c r="AF537" s="106"/>
      <c r="AG537" s="106"/>
      <c r="AH537" s="106"/>
      <c r="AI537" s="106"/>
      <c r="AJ537" s="106"/>
    </row>
    <row r="538" spans="1:36" s="6" customFormat="1" ht="15" hidden="1" customHeight="1">
      <c r="A538" s="106"/>
      <c r="B538" s="106"/>
      <c r="C538" s="106"/>
      <c r="D538" s="106"/>
      <c r="E538" s="106"/>
      <c r="F538" s="106"/>
      <c r="G538" s="106"/>
      <c r="H538" s="106"/>
      <c r="I538" s="106"/>
      <c r="J538" s="106"/>
      <c r="K538" s="106"/>
      <c r="L538" s="106"/>
      <c r="M538" s="106"/>
      <c r="N538" s="106"/>
      <c r="O538" s="106"/>
      <c r="P538" s="106"/>
      <c r="Q538" s="106"/>
      <c r="R538" s="106"/>
      <c r="S538" s="106"/>
      <c r="T538" s="106"/>
      <c r="U538" s="106"/>
      <c r="V538" s="106"/>
      <c r="W538" s="106"/>
      <c r="X538" s="106"/>
      <c r="Y538" s="106"/>
      <c r="Z538" s="106"/>
      <c r="AA538" s="106"/>
      <c r="AB538" s="106"/>
      <c r="AC538" s="106"/>
      <c r="AD538" s="106"/>
      <c r="AE538" s="106"/>
      <c r="AF538" s="106"/>
      <c r="AG538" s="106"/>
      <c r="AH538" s="106"/>
      <c r="AI538" s="106"/>
      <c r="AJ538" s="106"/>
    </row>
    <row r="539" spans="1:36" s="6" customFormat="1" ht="15" hidden="1" customHeight="1">
      <c r="A539" s="106"/>
      <c r="B539" s="106"/>
      <c r="C539" s="106"/>
      <c r="D539" s="106"/>
      <c r="E539" s="106"/>
      <c r="F539" s="106"/>
      <c r="G539" s="106"/>
      <c r="H539" s="106"/>
      <c r="I539" s="106"/>
      <c r="J539" s="106"/>
      <c r="K539" s="106"/>
      <c r="L539" s="106"/>
      <c r="M539" s="106"/>
      <c r="N539" s="106"/>
      <c r="O539" s="106"/>
      <c r="P539" s="106"/>
      <c r="Q539" s="106"/>
      <c r="R539" s="106"/>
      <c r="S539" s="106"/>
      <c r="T539" s="106"/>
      <c r="U539" s="106"/>
      <c r="V539" s="106"/>
      <c r="W539" s="106"/>
      <c r="X539" s="106"/>
      <c r="Y539" s="106"/>
      <c r="Z539" s="106"/>
      <c r="AA539" s="106"/>
      <c r="AB539" s="106"/>
      <c r="AC539" s="106"/>
      <c r="AD539" s="106"/>
      <c r="AE539" s="106"/>
      <c r="AF539" s="106"/>
      <c r="AG539" s="106"/>
      <c r="AH539" s="106"/>
      <c r="AI539" s="106"/>
      <c r="AJ539" s="106"/>
    </row>
    <row r="540" spans="1:36" s="6" customFormat="1" ht="15" hidden="1" customHeight="1">
      <c r="A540" s="106"/>
      <c r="B540" s="106"/>
      <c r="C540" s="106"/>
      <c r="D540" s="106"/>
      <c r="E540" s="106"/>
      <c r="F540" s="106"/>
      <c r="G540" s="106"/>
      <c r="H540" s="106"/>
      <c r="I540" s="106"/>
      <c r="J540" s="106"/>
      <c r="K540" s="106"/>
      <c r="L540" s="106"/>
      <c r="M540" s="106"/>
      <c r="N540" s="106"/>
      <c r="O540" s="106"/>
      <c r="P540" s="106"/>
      <c r="Q540" s="106"/>
      <c r="R540" s="106"/>
      <c r="S540" s="106"/>
      <c r="T540" s="106"/>
      <c r="U540" s="106"/>
      <c r="V540" s="106"/>
      <c r="W540" s="106"/>
      <c r="X540" s="106"/>
      <c r="Y540" s="106"/>
      <c r="Z540" s="106"/>
      <c r="AA540" s="106"/>
      <c r="AB540" s="106"/>
      <c r="AC540" s="106"/>
      <c r="AD540" s="106"/>
      <c r="AE540" s="106"/>
      <c r="AF540" s="106"/>
      <c r="AG540" s="106"/>
      <c r="AH540" s="106"/>
      <c r="AI540" s="106"/>
      <c r="AJ540" s="106"/>
    </row>
    <row r="541" spans="1:36" s="6" customFormat="1" ht="15" hidden="1" customHeight="1">
      <c r="A541" s="106"/>
      <c r="B541" s="106"/>
      <c r="C541" s="106"/>
      <c r="D541" s="106"/>
      <c r="E541" s="106"/>
      <c r="F541" s="106"/>
      <c r="G541" s="106"/>
      <c r="H541" s="106"/>
      <c r="I541" s="106"/>
      <c r="J541" s="106"/>
      <c r="K541" s="106"/>
      <c r="L541" s="106"/>
      <c r="M541" s="106"/>
      <c r="N541" s="106"/>
      <c r="O541" s="106"/>
      <c r="P541" s="106"/>
      <c r="Q541" s="106"/>
      <c r="R541" s="106"/>
      <c r="S541" s="106"/>
      <c r="T541" s="106"/>
      <c r="U541" s="106"/>
      <c r="V541" s="106"/>
      <c r="W541" s="106"/>
      <c r="X541" s="106"/>
      <c r="Y541" s="106"/>
      <c r="Z541" s="106"/>
      <c r="AA541" s="106"/>
      <c r="AB541" s="106"/>
      <c r="AC541" s="106"/>
      <c r="AD541" s="106"/>
      <c r="AE541" s="106"/>
      <c r="AF541" s="106"/>
      <c r="AG541" s="106"/>
      <c r="AH541" s="106"/>
      <c r="AI541" s="106"/>
      <c r="AJ541" s="106"/>
    </row>
    <row r="542" spans="1:36" s="6" customFormat="1" ht="15" hidden="1" customHeight="1">
      <c r="A542" s="106"/>
      <c r="B542" s="106"/>
      <c r="C542" s="106"/>
      <c r="D542" s="106"/>
      <c r="E542" s="106"/>
      <c r="F542" s="106"/>
      <c r="G542" s="106"/>
      <c r="H542" s="106"/>
      <c r="I542" s="106"/>
      <c r="J542" s="106"/>
      <c r="K542" s="106"/>
      <c r="L542" s="106"/>
      <c r="M542" s="106"/>
      <c r="N542" s="106"/>
      <c r="O542" s="106"/>
      <c r="P542" s="106"/>
      <c r="Q542" s="106"/>
      <c r="R542" s="106"/>
      <c r="S542" s="106"/>
      <c r="T542" s="106"/>
      <c r="U542" s="106"/>
      <c r="V542" s="106"/>
      <c r="W542" s="106"/>
      <c r="X542" s="106"/>
      <c r="Y542" s="106"/>
      <c r="Z542" s="106"/>
      <c r="AA542" s="106"/>
      <c r="AB542" s="106"/>
      <c r="AC542" s="106"/>
      <c r="AD542" s="106"/>
      <c r="AE542" s="106"/>
      <c r="AF542" s="106"/>
      <c r="AG542" s="106"/>
      <c r="AH542" s="106"/>
      <c r="AI542" s="106"/>
      <c r="AJ542" s="106"/>
    </row>
    <row r="543" spans="1:36" s="6" customFormat="1" ht="15" hidden="1" customHeight="1">
      <c r="A543" s="106"/>
      <c r="B543" s="106"/>
      <c r="C543" s="106"/>
      <c r="D543" s="106"/>
      <c r="E543" s="106"/>
      <c r="F543" s="106"/>
      <c r="G543" s="106"/>
      <c r="H543" s="106"/>
      <c r="I543" s="106"/>
      <c r="J543" s="106"/>
      <c r="K543" s="106"/>
      <c r="L543" s="106"/>
      <c r="M543" s="106"/>
      <c r="N543" s="106"/>
      <c r="O543" s="106"/>
      <c r="P543" s="106"/>
      <c r="Q543" s="106"/>
      <c r="R543" s="106"/>
      <c r="S543" s="106"/>
      <c r="T543" s="106"/>
      <c r="U543" s="106"/>
      <c r="V543" s="106"/>
      <c r="W543" s="106"/>
      <c r="X543" s="106"/>
      <c r="Y543" s="106"/>
      <c r="Z543" s="106"/>
      <c r="AA543" s="106"/>
      <c r="AB543" s="106"/>
      <c r="AC543" s="106"/>
      <c r="AD543" s="106"/>
      <c r="AE543" s="106"/>
      <c r="AF543" s="106"/>
      <c r="AG543" s="106"/>
      <c r="AH543" s="106"/>
      <c r="AI543" s="106"/>
      <c r="AJ543" s="106"/>
    </row>
    <row r="544" spans="1:36" s="6" customFormat="1" ht="15" hidden="1" customHeight="1">
      <c r="A544" s="106"/>
      <c r="B544" s="106"/>
      <c r="C544" s="106"/>
      <c r="D544" s="106"/>
      <c r="E544" s="106"/>
      <c r="F544" s="106"/>
      <c r="G544" s="106"/>
      <c r="H544" s="106"/>
      <c r="I544" s="106"/>
      <c r="J544" s="106"/>
      <c r="K544" s="106"/>
      <c r="L544" s="106"/>
      <c r="M544" s="106"/>
      <c r="N544" s="106"/>
      <c r="O544" s="106"/>
      <c r="P544" s="106"/>
      <c r="Q544" s="106"/>
      <c r="R544" s="106"/>
      <c r="S544" s="106"/>
      <c r="T544" s="106"/>
      <c r="U544" s="106"/>
      <c r="V544" s="106"/>
      <c r="W544" s="106"/>
      <c r="X544" s="106"/>
      <c r="Y544" s="106"/>
      <c r="Z544" s="106"/>
      <c r="AA544" s="106"/>
      <c r="AB544" s="106"/>
      <c r="AC544" s="106"/>
      <c r="AD544" s="106"/>
      <c r="AE544" s="106"/>
      <c r="AF544" s="106"/>
      <c r="AG544" s="106"/>
      <c r="AH544" s="106"/>
      <c r="AI544" s="106"/>
      <c r="AJ544" s="106"/>
    </row>
    <row r="545" spans="1:37" s="6" customFormat="1" ht="15" hidden="1" customHeight="1">
      <c r="A545" s="106"/>
      <c r="B545" s="106"/>
      <c r="C545" s="106"/>
      <c r="D545" s="106"/>
      <c r="E545" s="106"/>
      <c r="F545" s="106"/>
      <c r="G545" s="106"/>
      <c r="H545" s="106"/>
      <c r="I545" s="106"/>
      <c r="J545" s="106"/>
      <c r="K545" s="106"/>
      <c r="L545" s="106"/>
      <c r="M545" s="106"/>
      <c r="N545" s="106"/>
      <c r="O545" s="106"/>
      <c r="P545" s="106"/>
      <c r="Q545" s="106"/>
      <c r="R545" s="106"/>
      <c r="S545" s="106"/>
      <c r="T545" s="106"/>
      <c r="U545" s="106"/>
      <c r="V545" s="106"/>
      <c r="W545" s="106"/>
      <c r="X545" s="106"/>
      <c r="Y545" s="106"/>
      <c r="Z545" s="106"/>
      <c r="AA545" s="106"/>
      <c r="AB545" s="106"/>
      <c r="AC545" s="106"/>
      <c r="AD545" s="106"/>
      <c r="AE545" s="106"/>
      <c r="AF545" s="106"/>
      <c r="AG545" s="106"/>
      <c r="AH545" s="106"/>
      <c r="AI545" s="106"/>
      <c r="AJ545" s="106"/>
    </row>
    <row r="546" spans="1:37" s="6" customFormat="1" ht="15" hidden="1" customHeight="1">
      <c r="A546" s="106"/>
      <c r="B546" s="106"/>
      <c r="C546" s="106"/>
      <c r="D546" s="106"/>
      <c r="E546" s="106"/>
      <c r="F546" s="106"/>
      <c r="G546" s="106"/>
      <c r="H546" s="106"/>
      <c r="I546" s="106"/>
      <c r="J546" s="106"/>
      <c r="K546" s="106"/>
      <c r="L546" s="106"/>
      <c r="M546" s="106"/>
      <c r="N546" s="106"/>
      <c r="O546" s="106"/>
      <c r="P546" s="106"/>
      <c r="Q546" s="106"/>
      <c r="R546" s="106"/>
      <c r="S546" s="106"/>
      <c r="T546" s="106"/>
      <c r="U546" s="106"/>
      <c r="V546" s="106"/>
      <c r="W546" s="106"/>
      <c r="X546" s="106"/>
      <c r="Y546" s="106"/>
      <c r="Z546" s="106"/>
      <c r="AA546" s="106"/>
      <c r="AB546" s="106"/>
      <c r="AC546" s="106"/>
      <c r="AD546" s="106"/>
      <c r="AE546" s="106"/>
      <c r="AF546" s="106"/>
      <c r="AG546" s="106"/>
      <c r="AH546" s="106"/>
      <c r="AI546" s="106"/>
      <c r="AJ546" s="106"/>
    </row>
    <row r="547" spans="1:37" s="6" customFormat="1" ht="15" hidden="1" customHeight="1">
      <c r="A547" s="106"/>
      <c r="B547" s="106"/>
      <c r="C547" s="106"/>
      <c r="D547" s="106"/>
      <c r="E547" s="106"/>
      <c r="F547" s="106"/>
      <c r="G547" s="106"/>
      <c r="H547" s="106"/>
      <c r="I547" s="106"/>
      <c r="J547" s="106"/>
      <c r="K547" s="106"/>
      <c r="L547" s="106"/>
      <c r="M547" s="106"/>
      <c r="N547" s="106"/>
      <c r="O547" s="106"/>
      <c r="P547" s="106"/>
      <c r="Q547" s="106"/>
      <c r="R547" s="106"/>
      <c r="S547" s="106"/>
      <c r="T547" s="106"/>
      <c r="U547" s="106"/>
      <c r="V547" s="106"/>
      <c r="W547" s="106"/>
      <c r="X547" s="106"/>
      <c r="Y547" s="106"/>
      <c r="Z547" s="106"/>
      <c r="AA547" s="106"/>
      <c r="AB547" s="106"/>
      <c r="AC547" s="106"/>
      <c r="AD547" s="106"/>
      <c r="AE547" s="106"/>
      <c r="AF547" s="106"/>
      <c r="AG547" s="106"/>
      <c r="AH547" s="106"/>
      <c r="AI547" s="106"/>
      <c r="AJ547" s="106"/>
    </row>
    <row r="548" spans="1:37" s="6" customFormat="1" ht="15" hidden="1" customHeight="1">
      <c r="A548" s="106"/>
      <c r="B548" s="106"/>
      <c r="C548" s="106"/>
      <c r="D548" s="106"/>
      <c r="E548" s="106"/>
      <c r="F548" s="106"/>
      <c r="G548" s="106"/>
      <c r="H548" s="106"/>
      <c r="I548" s="106"/>
      <c r="J548" s="106"/>
      <c r="K548" s="106"/>
      <c r="L548" s="106"/>
      <c r="M548" s="106"/>
      <c r="N548" s="106"/>
      <c r="O548" s="106"/>
      <c r="P548" s="106"/>
      <c r="Q548" s="106"/>
      <c r="R548" s="106"/>
      <c r="S548" s="106"/>
      <c r="T548" s="106"/>
      <c r="U548" s="106"/>
      <c r="V548" s="106"/>
      <c r="W548" s="106"/>
      <c r="X548" s="106"/>
      <c r="Y548" s="106"/>
      <c r="Z548" s="106"/>
      <c r="AA548" s="106"/>
      <c r="AB548" s="106"/>
      <c r="AC548" s="106"/>
      <c r="AD548" s="106"/>
      <c r="AE548" s="106"/>
      <c r="AF548" s="106"/>
      <c r="AG548" s="106"/>
      <c r="AH548" s="106"/>
      <c r="AI548" s="106"/>
      <c r="AJ548" s="106"/>
    </row>
    <row r="549" spans="1:37" s="6" customFormat="1" ht="15" hidden="1" customHeight="1">
      <c r="A549" s="106"/>
      <c r="B549" s="106"/>
      <c r="C549" s="106"/>
      <c r="D549" s="106"/>
      <c r="E549" s="106"/>
      <c r="F549" s="106"/>
      <c r="G549" s="106"/>
      <c r="H549" s="106"/>
      <c r="I549" s="106"/>
      <c r="J549" s="106"/>
      <c r="K549" s="106"/>
      <c r="L549" s="106"/>
      <c r="M549" s="106"/>
      <c r="N549" s="106"/>
      <c r="O549" s="106"/>
      <c r="P549" s="106"/>
      <c r="Q549" s="106"/>
      <c r="R549" s="106"/>
      <c r="S549" s="106"/>
      <c r="T549" s="106"/>
      <c r="U549" s="106"/>
      <c r="V549" s="106"/>
      <c r="W549" s="106"/>
      <c r="X549" s="106"/>
      <c r="Y549" s="106"/>
      <c r="Z549" s="106"/>
      <c r="AA549" s="106"/>
      <c r="AB549" s="106"/>
      <c r="AC549" s="106"/>
      <c r="AD549" s="106"/>
      <c r="AE549" s="106"/>
      <c r="AF549" s="106"/>
      <c r="AG549" s="106"/>
      <c r="AH549" s="106"/>
      <c r="AI549" s="106"/>
      <c r="AJ549" s="106"/>
    </row>
    <row r="550" spans="1:37" hidden="1"/>
    <row r="551" spans="1:37" hidden="1"/>
    <row r="552" spans="1:37" hidden="1"/>
    <row r="553" spans="1:37" hidden="1"/>
    <row r="554" spans="1:37" hidden="1"/>
    <row r="555" spans="1:37" hidden="1"/>
    <row r="556" spans="1:37" ht="20.100000000000001" hidden="1" customHeight="1">
      <c r="AK556" s="30"/>
    </row>
    <row r="557" spans="1:37" ht="12.75" hidden="1" customHeight="1"/>
    <row r="558" spans="1:37" s="6" customFormat="1" hidden="1">
      <c r="A558" s="106"/>
      <c r="B558" s="106"/>
      <c r="C558" s="106"/>
      <c r="D558" s="106"/>
      <c r="E558" s="106"/>
      <c r="F558" s="106"/>
      <c r="G558" s="106"/>
      <c r="H558" s="106"/>
      <c r="I558" s="106"/>
      <c r="J558" s="106"/>
      <c r="K558" s="106"/>
      <c r="L558" s="106"/>
      <c r="M558" s="106"/>
      <c r="N558" s="106"/>
      <c r="O558" s="106"/>
      <c r="P558" s="106"/>
      <c r="Q558" s="106"/>
      <c r="R558" s="106"/>
      <c r="S558" s="106"/>
      <c r="T558" s="106"/>
      <c r="U558" s="106"/>
      <c r="V558" s="106"/>
      <c r="W558" s="106"/>
      <c r="X558" s="106"/>
      <c r="Y558" s="106"/>
      <c r="Z558" s="106"/>
      <c r="AA558" s="106"/>
      <c r="AB558" s="106"/>
      <c r="AC558" s="106"/>
      <c r="AD558" s="106"/>
      <c r="AE558" s="106"/>
      <c r="AF558" s="106"/>
      <c r="AG558" s="106"/>
      <c r="AH558" s="106"/>
      <c r="AI558" s="106"/>
      <c r="AJ558" s="106"/>
    </row>
    <row r="559" spans="1:37" s="6" customFormat="1" hidden="1">
      <c r="A559" s="106"/>
      <c r="B559" s="106"/>
      <c r="C559" s="106"/>
      <c r="D559" s="106"/>
      <c r="E559" s="106"/>
      <c r="F559" s="106"/>
      <c r="G559" s="106"/>
      <c r="H559" s="106"/>
      <c r="I559" s="106"/>
      <c r="J559" s="106"/>
      <c r="K559" s="106"/>
      <c r="L559" s="106"/>
      <c r="M559" s="106"/>
      <c r="N559" s="106"/>
      <c r="O559" s="106"/>
      <c r="P559" s="106"/>
      <c r="Q559" s="106"/>
      <c r="R559" s="106"/>
      <c r="S559" s="106"/>
      <c r="T559" s="106"/>
      <c r="U559" s="106"/>
      <c r="V559" s="106"/>
      <c r="W559" s="106"/>
      <c r="X559" s="106"/>
      <c r="Y559" s="106"/>
      <c r="Z559" s="106"/>
      <c r="AA559" s="106"/>
      <c r="AB559" s="106"/>
      <c r="AC559" s="106"/>
      <c r="AD559" s="106"/>
      <c r="AE559" s="106"/>
      <c r="AF559" s="106"/>
      <c r="AG559" s="106"/>
      <c r="AH559" s="106"/>
      <c r="AI559" s="106"/>
      <c r="AJ559" s="106"/>
    </row>
    <row r="560" spans="1:37" s="6" customFormat="1" ht="12.75" hidden="1" customHeight="1">
      <c r="A560" s="106"/>
      <c r="B560" s="106"/>
      <c r="C560" s="106"/>
      <c r="D560" s="106"/>
      <c r="E560" s="106"/>
      <c r="F560" s="106"/>
      <c r="G560" s="106"/>
      <c r="H560" s="106"/>
      <c r="I560" s="106"/>
      <c r="J560" s="106"/>
      <c r="K560" s="106"/>
      <c r="L560" s="106"/>
      <c r="M560" s="106"/>
      <c r="N560" s="106"/>
      <c r="O560" s="106"/>
      <c r="P560" s="106"/>
      <c r="Q560" s="106"/>
      <c r="R560" s="106"/>
      <c r="S560" s="106"/>
      <c r="T560" s="106"/>
      <c r="U560" s="106"/>
      <c r="V560" s="106"/>
      <c r="W560" s="106"/>
      <c r="X560" s="106"/>
      <c r="Y560" s="106"/>
      <c r="Z560" s="106"/>
      <c r="AA560" s="106"/>
      <c r="AB560" s="106"/>
      <c r="AC560" s="106"/>
      <c r="AD560" s="106"/>
      <c r="AE560" s="106"/>
      <c r="AF560" s="106"/>
      <c r="AG560" s="106"/>
      <c r="AH560" s="106"/>
      <c r="AI560" s="106"/>
      <c r="AJ560" s="106"/>
    </row>
    <row r="561" spans="1:36" s="6" customFormat="1" ht="13.5" hidden="1" customHeight="1">
      <c r="A561" s="106"/>
      <c r="B561" s="106"/>
      <c r="C561" s="106"/>
      <c r="D561" s="106"/>
      <c r="E561" s="106"/>
      <c r="F561" s="106"/>
      <c r="G561" s="106"/>
      <c r="H561" s="106"/>
      <c r="I561" s="106"/>
      <c r="J561" s="106"/>
      <c r="K561" s="106"/>
      <c r="L561" s="106"/>
      <c r="M561" s="106"/>
      <c r="N561" s="106"/>
      <c r="O561" s="106"/>
      <c r="P561" s="106"/>
      <c r="Q561" s="106"/>
      <c r="R561" s="106"/>
      <c r="S561" s="106"/>
      <c r="T561" s="106"/>
      <c r="U561" s="106"/>
      <c r="V561" s="106"/>
      <c r="W561" s="106"/>
      <c r="X561" s="106"/>
      <c r="Y561" s="106"/>
      <c r="Z561" s="106"/>
      <c r="AA561" s="106"/>
      <c r="AB561" s="106"/>
      <c r="AC561" s="106"/>
      <c r="AD561" s="106"/>
      <c r="AE561" s="106"/>
      <c r="AF561" s="106"/>
      <c r="AG561" s="106"/>
      <c r="AH561" s="106"/>
      <c r="AI561" s="106"/>
      <c r="AJ561" s="106"/>
    </row>
    <row r="562" spans="1:36" s="6" customFormat="1" hidden="1">
      <c r="A562" s="106"/>
      <c r="B562" s="106"/>
      <c r="C562" s="106"/>
      <c r="D562" s="106"/>
      <c r="E562" s="106"/>
      <c r="F562" s="106"/>
      <c r="G562" s="106"/>
      <c r="H562" s="106"/>
      <c r="I562" s="106"/>
      <c r="J562" s="106"/>
      <c r="K562" s="106"/>
      <c r="L562" s="106"/>
      <c r="M562" s="106"/>
      <c r="N562" s="106"/>
      <c r="O562" s="106"/>
      <c r="P562" s="106"/>
      <c r="Q562" s="106"/>
      <c r="R562" s="106"/>
      <c r="S562" s="106"/>
      <c r="T562" s="106"/>
      <c r="U562" s="106"/>
      <c r="V562" s="106"/>
      <c r="W562" s="106"/>
      <c r="X562" s="106"/>
      <c r="Y562" s="106"/>
      <c r="Z562" s="106"/>
      <c r="AA562" s="106"/>
      <c r="AB562" s="106"/>
      <c r="AC562" s="106"/>
      <c r="AD562" s="106"/>
      <c r="AE562" s="106"/>
      <c r="AF562" s="106"/>
      <c r="AG562" s="106"/>
      <c r="AH562" s="106"/>
      <c r="AI562" s="106"/>
      <c r="AJ562" s="106"/>
    </row>
    <row r="563" spans="1:36" s="6" customFormat="1" ht="13.5" hidden="1" customHeight="1">
      <c r="A563" s="106"/>
      <c r="B563" s="106"/>
      <c r="C563" s="106"/>
      <c r="D563" s="106"/>
      <c r="E563" s="106"/>
      <c r="F563" s="106"/>
      <c r="G563" s="106"/>
      <c r="H563" s="106"/>
      <c r="I563" s="106"/>
      <c r="J563" s="106"/>
      <c r="K563" s="106"/>
      <c r="L563" s="106"/>
      <c r="M563" s="106"/>
      <c r="N563" s="106"/>
      <c r="O563" s="106"/>
      <c r="P563" s="106"/>
      <c r="Q563" s="106"/>
      <c r="R563" s="106"/>
      <c r="S563" s="106"/>
      <c r="T563" s="106"/>
      <c r="U563" s="106"/>
      <c r="V563" s="106"/>
      <c r="W563" s="106"/>
      <c r="X563" s="106"/>
      <c r="Y563" s="106"/>
      <c r="Z563" s="106"/>
      <c r="AA563" s="106"/>
      <c r="AB563" s="106"/>
      <c r="AC563" s="106"/>
      <c r="AD563" s="106"/>
      <c r="AE563" s="106"/>
      <c r="AF563" s="106"/>
      <c r="AG563" s="106"/>
      <c r="AH563" s="106"/>
      <c r="AI563" s="106"/>
      <c r="AJ563" s="106"/>
    </row>
    <row r="564" spans="1:36" s="6" customFormat="1" hidden="1">
      <c r="A564" s="106"/>
      <c r="B564" s="106"/>
      <c r="C564" s="106"/>
      <c r="D564" s="106"/>
      <c r="E564" s="106"/>
      <c r="F564" s="106"/>
      <c r="G564" s="106"/>
      <c r="H564" s="106"/>
      <c r="I564" s="106"/>
      <c r="J564" s="106"/>
      <c r="K564" s="106"/>
      <c r="L564" s="106"/>
      <c r="M564" s="106"/>
      <c r="N564" s="106"/>
      <c r="O564" s="106"/>
      <c r="P564" s="106"/>
      <c r="Q564" s="106"/>
      <c r="R564" s="106"/>
      <c r="S564" s="106"/>
      <c r="T564" s="106"/>
      <c r="U564" s="106"/>
      <c r="V564" s="106"/>
      <c r="W564" s="106"/>
      <c r="X564" s="106"/>
      <c r="Y564" s="106"/>
      <c r="Z564" s="106"/>
      <c r="AA564" s="106"/>
      <c r="AB564" s="106"/>
      <c r="AC564" s="106"/>
      <c r="AD564" s="106"/>
      <c r="AE564" s="106"/>
      <c r="AF564" s="106"/>
      <c r="AG564" s="106"/>
      <c r="AH564" s="106"/>
      <c r="AI564" s="106"/>
      <c r="AJ564" s="106"/>
    </row>
    <row r="565" spans="1:36" s="6" customFormat="1" hidden="1">
      <c r="A565" s="106"/>
      <c r="B565" s="106"/>
      <c r="C565" s="106"/>
      <c r="D565" s="106"/>
      <c r="E565" s="106"/>
      <c r="F565" s="106"/>
      <c r="G565" s="106"/>
      <c r="H565" s="106"/>
      <c r="I565" s="106"/>
      <c r="J565" s="106"/>
      <c r="K565" s="106"/>
      <c r="L565" s="106"/>
      <c r="M565" s="106"/>
      <c r="N565" s="106"/>
      <c r="O565" s="106"/>
      <c r="P565" s="106"/>
      <c r="Q565" s="106"/>
      <c r="R565" s="106"/>
      <c r="S565" s="106"/>
      <c r="T565" s="106"/>
      <c r="U565" s="106"/>
      <c r="V565" s="106"/>
      <c r="W565" s="106"/>
      <c r="X565" s="106"/>
      <c r="Y565" s="106"/>
      <c r="Z565" s="106"/>
      <c r="AA565" s="106"/>
      <c r="AB565" s="106"/>
      <c r="AC565" s="106"/>
      <c r="AD565" s="106"/>
      <c r="AE565" s="106"/>
      <c r="AF565" s="106"/>
      <c r="AG565" s="106"/>
      <c r="AH565" s="106"/>
      <c r="AI565" s="106"/>
      <c r="AJ565" s="106"/>
    </row>
    <row r="566" spans="1:36" s="6" customFormat="1" hidden="1">
      <c r="A566" s="106"/>
      <c r="B566" s="106"/>
      <c r="C566" s="106"/>
      <c r="D566" s="106"/>
      <c r="E566" s="106"/>
      <c r="F566" s="106"/>
      <c r="G566" s="106"/>
      <c r="H566" s="106"/>
      <c r="I566" s="106"/>
      <c r="J566" s="106"/>
      <c r="K566" s="106"/>
      <c r="L566" s="106"/>
      <c r="M566" s="106"/>
      <c r="N566" s="106"/>
      <c r="O566" s="106"/>
      <c r="P566" s="106"/>
      <c r="Q566" s="106"/>
      <c r="R566" s="106"/>
      <c r="S566" s="106"/>
      <c r="T566" s="106"/>
      <c r="U566" s="106"/>
      <c r="V566" s="106"/>
      <c r="W566" s="106"/>
      <c r="X566" s="106"/>
      <c r="Y566" s="106"/>
      <c r="Z566" s="106"/>
      <c r="AA566" s="106"/>
      <c r="AB566" s="106"/>
      <c r="AC566" s="106"/>
      <c r="AD566" s="106"/>
      <c r="AE566" s="106"/>
      <c r="AF566" s="106"/>
      <c r="AG566" s="106"/>
      <c r="AH566" s="106"/>
      <c r="AI566" s="106"/>
      <c r="AJ566" s="106"/>
    </row>
    <row r="567" spans="1:36" s="6" customFormat="1" hidden="1">
      <c r="A567" s="106"/>
      <c r="B567" s="106"/>
      <c r="C567" s="106"/>
      <c r="D567" s="106"/>
      <c r="E567" s="106"/>
      <c r="F567" s="106"/>
      <c r="G567" s="106"/>
      <c r="H567" s="106"/>
      <c r="I567" s="106"/>
      <c r="J567" s="106"/>
      <c r="K567" s="106"/>
      <c r="L567" s="106"/>
      <c r="M567" s="106"/>
      <c r="N567" s="106"/>
      <c r="O567" s="106"/>
      <c r="P567" s="106"/>
      <c r="Q567" s="106"/>
      <c r="R567" s="106"/>
      <c r="S567" s="106"/>
      <c r="T567" s="106"/>
      <c r="U567" s="106"/>
      <c r="V567" s="106"/>
      <c r="W567" s="106"/>
      <c r="X567" s="106"/>
      <c r="Y567" s="106"/>
      <c r="Z567" s="106"/>
      <c r="AA567" s="106"/>
      <c r="AB567" s="106"/>
      <c r="AC567" s="106"/>
      <c r="AD567" s="106"/>
      <c r="AE567" s="106"/>
      <c r="AF567" s="106"/>
      <c r="AG567" s="106"/>
      <c r="AH567" s="106"/>
      <c r="AI567" s="106"/>
      <c r="AJ567" s="106"/>
    </row>
    <row r="568" spans="1:36" s="6" customFormat="1" hidden="1">
      <c r="A568" s="106"/>
      <c r="B568" s="106"/>
      <c r="C568" s="106"/>
      <c r="D568" s="106"/>
      <c r="E568" s="106"/>
      <c r="F568" s="106"/>
      <c r="G568" s="106"/>
      <c r="H568" s="106"/>
      <c r="I568" s="106"/>
      <c r="J568" s="106"/>
      <c r="K568" s="106"/>
      <c r="L568" s="106"/>
      <c r="M568" s="106"/>
      <c r="N568" s="106"/>
      <c r="O568" s="106"/>
      <c r="P568" s="106"/>
      <c r="Q568" s="106"/>
      <c r="R568" s="106"/>
      <c r="S568" s="106"/>
      <c r="T568" s="106"/>
      <c r="U568" s="106"/>
      <c r="V568" s="106"/>
      <c r="W568" s="106"/>
      <c r="X568" s="106"/>
      <c r="Y568" s="106"/>
      <c r="Z568" s="106"/>
      <c r="AA568" s="106"/>
      <c r="AB568" s="106"/>
      <c r="AC568" s="106"/>
      <c r="AD568" s="106"/>
      <c r="AE568" s="106"/>
      <c r="AF568" s="106"/>
      <c r="AG568" s="106"/>
      <c r="AH568" s="106"/>
      <c r="AI568" s="106"/>
      <c r="AJ568" s="106"/>
    </row>
    <row r="569" spans="1:36" s="6" customFormat="1" hidden="1">
      <c r="A569" s="106"/>
      <c r="B569" s="106"/>
      <c r="C569" s="106"/>
      <c r="D569" s="106"/>
      <c r="E569" s="106"/>
      <c r="F569" s="106"/>
      <c r="G569" s="106"/>
      <c r="H569" s="106"/>
      <c r="I569" s="106"/>
      <c r="J569" s="106"/>
      <c r="K569" s="106"/>
      <c r="L569" s="106"/>
      <c r="M569" s="106"/>
      <c r="N569" s="106"/>
      <c r="O569" s="106"/>
      <c r="P569" s="106"/>
      <c r="Q569" s="106"/>
      <c r="R569" s="106"/>
      <c r="S569" s="106"/>
      <c r="T569" s="106"/>
      <c r="U569" s="106"/>
      <c r="V569" s="106"/>
      <c r="W569" s="106"/>
      <c r="X569" s="106"/>
      <c r="Y569" s="106"/>
      <c r="Z569" s="106"/>
      <c r="AA569" s="106"/>
      <c r="AB569" s="106"/>
      <c r="AC569" s="106"/>
      <c r="AD569" s="106"/>
      <c r="AE569" s="106"/>
      <c r="AF569" s="106"/>
      <c r="AG569" s="106"/>
      <c r="AH569" s="106"/>
      <c r="AI569" s="106"/>
      <c r="AJ569" s="106"/>
    </row>
    <row r="570" spans="1:36" s="6" customFormat="1" hidden="1">
      <c r="A570" s="106"/>
      <c r="B570" s="106"/>
      <c r="C570" s="106"/>
      <c r="D570" s="106"/>
      <c r="E570" s="106"/>
      <c r="F570" s="106"/>
      <c r="G570" s="106"/>
      <c r="H570" s="106"/>
      <c r="I570" s="106"/>
      <c r="J570" s="106"/>
      <c r="K570" s="106"/>
      <c r="L570" s="106"/>
      <c r="M570" s="106"/>
      <c r="N570" s="106"/>
      <c r="O570" s="106"/>
      <c r="P570" s="106"/>
      <c r="Q570" s="106"/>
      <c r="R570" s="106"/>
      <c r="S570" s="106"/>
      <c r="T570" s="106"/>
      <c r="U570" s="106"/>
      <c r="V570" s="106"/>
      <c r="W570" s="106"/>
      <c r="X570" s="106"/>
      <c r="Y570" s="106"/>
      <c r="Z570" s="106"/>
      <c r="AA570" s="106"/>
      <c r="AB570" s="106"/>
      <c r="AC570" s="106"/>
      <c r="AD570" s="106"/>
      <c r="AE570" s="106"/>
      <c r="AF570" s="106"/>
      <c r="AG570" s="106"/>
      <c r="AH570" s="106"/>
      <c r="AI570" s="106"/>
      <c r="AJ570" s="106"/>
    </row>
    <row r="571" spans="1:36" s="6" customFormat="1" hidden="1">
      <c r="A571" s="106"/>
      <c r="B571" s="106"/>
      <c r="C571" s="106"/>
      <c r="D571" s="106"/>
      <c r="E571" s="106"/>
      <c r="F571" s="106"/>
      <c r="G571" s="106"/>
      <c r="H571" s="106"/>
      <c r="I571" s="106"/>
      <c r="J571" s="106"/>
      <c r="K571" s="106"/>
      <c r="L571" s="106"/>
      <c r="M571" s="106"/>
      <c r="N571" s="106"/>
      <c r="O571" s="106"/>
      <c r="P571" s="106"/>
      <c r="Q571" s="106"/>
      <c r="R571" s="106"/>
      <c r="S571" s="106"/>
      <c r="T571" s="106"/>
      <c r="U571" s="106"/>
      <c r="V571" s="106"/>
      <c r="W571" s="106"/>
      <c r="X571" s="106"/>
      <c r="Y571" s="106"/>
      <c r="Z571" s="106"/>
      <c r="AA571" s="106"/>
      <c r="AB571" s="106"/>
      <c r="AC571" s="106"/>
      <c r="AD571" s="106"/>
      <c r="AE571" s="106"/>
      <c r="AF571" s="106"/>
      <c r="AG571" s="106"/>
      <c r="AH571" s="106"/>
      <c r="AI571" s="106"/>
      <c r="AJ571" s="106"/>
    </row>
    <row r="572" spans="1:36" s="6" customFormat="1" hidden="1">
      <c r="A572" s="106"/>
      <c r="B572" s="106"/>
      <c r="C572" s="106"/>
      <c r="D572" s="106"/>
      <c r="E572" s="106"/>
      <c r="F572" s="106"/>
      <c r="G572" s="106"/>
      <c r="H572" s="106"/>
      <c r="I572" s="106"/>
      <c r="J572" s="106"/>
      <c r="K572" s="106"/>
      <c r="L572" s="106"/>
      <c r="M572" s="106"/>
      <c r="N572" s="106"/>
      <c r="O572" s="106"/>
      <c r="P572" s="106"/>
      <c r="Q572" s="106"/>
      <c r="R572" s="106"/>
      <c r="S572" s="106"/>
      <c r="T572" s="106"/>
      <c r="U572" s="106"/>
      <c r="V572" s="106"/>
      <c r="W572" s="106"/>
      <c r="X572" s="106"/>
      <c r="Y572" s="106"/>
      <c r="Z572" s="106"/>
      <c r="AA572" s="106"/>
      <c r="AB572" s="106"/>
      <c r="AC572" s="106"/>
      <c r="AD572" s="106"/>
      <c r="AE572" s="106"/>
      <c r="AF572" s="106"/>
      <c r="AG572" s="106"/>
      <c r="AH572" s="106"/>
      <c r="AI572" s="106"/>
      <c r="AJ572" s="106"/>
    </row>
    <row r="573" spans="1:36" s="6" customFormat="1" hidden="1">
      <c r="A573" s="106"/>
      <c r="B573" s="106"/>
      <c r="C573" s="106"/>
      <c r="D573" s="106"/>
      <c r="E573" s="106"/>
      <c r="F573" s="106"/>
      <c r="G573" s="106"/>
      <c r="H573" s="106"/>
      <c r="I573" s="106"/>
      <c r="J573" s="106"/>
      <c r="K573" s="106"/>
      <c r="L573" s="106"/>
      <c r="M573" s="106"/>
      <c r="N573" s="106"/>
      <c r="O573" s="106"/>
      <c r="P573" s="106"/>
      <c r="Q573" s="106"/>
      <c r="R573" s="106"/>
      <c r="S573" s="106"/>
      <c r="T573" s="106"/>
      <c r="U573" s="106"/>
      <c r="V573" s="106"/>
      <c r="W573" s="106"/>
      <c r="X573" s="106"/>
      <c r="Y573" s="106"/>
      <c r="Z573" s="106"/>
      <c r="AA573" s="106"/>
      <c r="AB573" s="106"/>
      <c r="AC573" s="106"/>
      <c r="AD573" s="106"/>
      <c r="AE573" s="106"/>
      <c r="AF573" s="106"/>
      <c r="AG573" s="106"/>
      <c r="AH573" s="106"/>
      <c r="AI573" s="106"/>
      <c r="AJ573" s="106"/>
    </row>
    <row r="574" spans="1:36" s="6" customFormat="1" hidden="1">
      <c r="A574" s="106"/>
      <c r="B574" s="106"/>
      <c r="C574" s="106"/>
      <c r="D574" s="106"/>
      <c r="E574" s="106"/>
      <c r="F574" s="106"/>
      <c r="G574" s="106"/>
      <c r="H574" s="106"/>
      <c r="I574" s="106"/>
      <c r="J574" s="106"/>
      <c r="K574" s="106"/>
      <c r="L574" s="106"/>
      <c r="M574" s="106"/>
      <c r="N574" s="106"/>
      <c r="O574" s="106"/>
      <c r="P574" s="106"/>
      <c r="Q574" s="106"/>
      <c r="R574" s="106"/>
      <c r="S574" s="106"/>
      <c r="T574" s="106"/>
      <c r="U574" s="106"/>
      <c r="V574" s="106"/>
      <c r="W574" s="106"/>
      <c r="X574" s="106"/>
      <c r="Y574" s="106"/>
      <c r="Z574" s="106"/>
      <c r="AA574" s="106"/>
      <c r="AB574" s="106"/>
      <c r="AC574" s="106"/>
      <c r="AD574" s="106"/>
      <c r="AE574" s="106"/>
      <c r="AF574" s="106"/>
      <c r="AG574" s="106"/>
      <c r="AH574" s="106"/>
      <c r="AI574" s="106"/>
      <c r="AJ574" s="106"/>
    </row>
    <row r="575" spans="1:36" s="6" customFormat="1" hidden="1">
      <c r="A575" s="106"/>
      <c r="B575" s="106"/>
      <c r="C575" s="106"/>
      <c r="D575" s="106"/>
      <c r="E575" s="106"/>
      <c r="F575" s="106"/>
      <c r="G575" s="106"/>
      <c r="H575" s="106"/>
      <c r="I575" s="106"/>
      <c r="J575" s="106"/>
      <c r="K575" s="106"/>
      <c r="L575" s="106"/>
      <c r="M575" s="106"/>
      <c r="N575" s="106"/>
      <c r="O575" s="106"/>
      <c r="P575" s="106"/>
      <c r="Q575" s="106"/>
      <c r="R575" s="106"/>
      <c r="S575" s="106"/>
      <c r="T575" s="106"/>
      <c r="U575" s="106"/>
      <c r="V575" s="106"/>
      <c r="W575" s="106"/>
      <c r="X575" s="106"/>
      <c r="Y575" s="106"/>
      <c r="Z575" s="106"/>
      <c r="AA575" s="106"/>
      <c r="AB575" s="106"/>
      <c r="AC575" s="106"/>
      <c r="AD575" s="106"/>
      <c r="AE575" s="106"/>
      <c r="AF575" s="106"/>
      <c r="AG575" s="106"/>
      <c r="AH575" s="106"/>
      <c r="AI575" s="106"/>
      <c r="AJ575" s="106"/>
    </row>
    <row r="576" spans="1:36" s="6" customFormat="1" hidden="1">
      <c r="A576" s="106"/>
      <c r="B576" s="106"/>
      <c r="C576" s="106"/>
      <c r="D576" s="106"/>
      <c r="E576" s="106"/>
      <c r="F576" s="106"/>
      <c r="G576" s="106"/>
      <c r="H576" s="106"/>
      <c r="I576" s="106"/>
      <c r="J576" s="106"/>
      <c r="K576" s="106"/>
      <c r="L576" s="106"/>
      <c r="M576" s="106"/>
      <c r="N576" s="106"/>
      <c r="O576" s="106"/>
      <c r="P576" s="106"/>
      <c r="Q576" s="106"/>
      <c r="R576" s="106"/>
      <c r="S576" s="106"/>
      <c r="T576" s="106"/>
      <c r="U576" s="106"/>
      <c r="V576" s="106"/>
      <c r="W576" s="106"/>
      <c r="X576" s="106"/>
      <c r="Y576" s="106"/>
      <c r="Z576" s="106"/>
      <c r="AA576" s="106"/>
      <c r="AB576" s="106"/>
      <c r="AC576" s="106"/>
      <c r="AD576" s="106"/>
      <c r="AE576" s="106"/>
      <c r="AF576" s="106"/>
      <c r="AG576" s="106"/>
      <c r="AH576" s="106"/>
      <c r="AI576" s="106"/>
      <c r="AJ576" s="106"/>
    </row>
    <row r="577" spans="1:36" s="6" customFormat="1" hidden="1">
      <c r="A577" s="106"/>
      <c r="B577" s="106"/>
      <c r="C577" s="106"/>
      <c r="D577" s="106"/>
      <c r="E577" s="106"/>
      <c r="F577" s="106"/>
      <c r="G577" s="106"/>
      <c r="H577" s="106"/>
      <c r="I577" s="106"/>
      <c r="J577" s="106"/>
      <c r="K577" s="106"/>
      <c r="L577" s="106"/>
      <c r="M577" s="106"/>
      <c r="N577" s="106"/>
      <c r="O577" s="106"/>
      <c r="P577" s="106"/>
      <c r="Q577" s="106"/>
      <c r="R577" s="106"/>
      <c r="S577" s="106"/>
      <c r="T577" s="106"/>
      <c r="U577" s="106"/>
      <c r="V577" s="106"/>
      <c r="W577" s="106"/>
      <c r="X577" s="106"/>
      <c r="Y577" s="106"/>
      <c r="Z577" s="106"/>
      <c r="AA577" s="106"/>
      <c r="AB577" s="106"/>
      <c r="AC577" s="106"/>
      <c r="AD577" s="106"/>
      <c r="AE577" s="106"/>
      <c r="AF577" s="106"/>
      <c r="AG577" s="106"/>
      <c r="AH577" s="106"/>
      <c r="AI577" s="106"/>
      <c r="AJ577" s="106"/>
    </row>
    <row r="578" spans="1:36" s="6" customFormat="1" hidden="1">
      <c r="A578" s="106"/>
      <c r="B578" s="106"/>
      <c r="C578" s="106"/>
      <c r="D578" s="106"/>
      <c r="E578" s="106"/>
      <c r="F578" s="106"/>
      <c r="G578" s="106"/>
      <c r="H578" s="106"/>
      <c r="I578" s="106"/>
      <c r="J578" s="106"/>
      <c r="K578" s="106"/>
      <c r="L578" s="106"/>
      <c r="M578" s="106"/>
      <c r="N578" s="106"/>
      <c r="O578" s="106"/>
      <c r="P578" s="106"/>
      <c r="Q578" s="106"/>
      <c r="R578" s="106"/>
      <c r="S578" s="106"/>
      <c r="T578" s="106"/>
      <c r="U578" s="106"/>
      <c r="V578" s="106"/>
      <c r="W578" s="106"/>
      <c r="X578" s="106"/>
      <c r="Y578" s="106"/>
      <c r="Z578" s="106"/>
      <c r="AA578" s="106"/>
      <c r="AB578" s="106"/>
      <c r="AC578" s="106"/>
      <c r="AD578" s="106"/>
      <c r="AE578" s="106"/>
      <c r="AF578" s="106"/>
      <c r="AG578" s="106"/>
      <c r="AH578" s="106"/>
      <c r="AI578" s="106"/>
      <c r="AJ578" s="106"/>
    </row>
    <row r="579" spans="1:36" s="6" customFormat="1" hidden="1">
      <c r="A579" s="106"/>
      <c r="B579" s="106"/>
      <c r="C579" s="106"/>
      <c r="D579" s="106"/>
      <c r="E579" s="106"/>
      <c r="F579" s="106"/>
      <c r="G579" s="106"/>
      <c r="H579" s="106"/>
      <c r="I579" s="106"/>
      <c r="J579" s="106"/>
      <c r="K579" s="106"/>
      <c r="L579" s="106"/>
      <c r="M579" s="106"/>
      <c r="N579" s="106"/>
      <c r="O579" s="106"/>
      <c r="P579" s="106"/>
      <c r="Q579" s="106"/>
      <c r="R579" s="106"/>
      <c r="S579" s="106"/>
      <c r="T579" s="106"/>
      <c r="U579" s="106"/>
      <c r="V579" s="106"/>
      <c r="W579" s="106"/>
      <c r="X579" s="106"/>
      <c r="Y579" s="106"/>
      <c r="Z579" s="106"/>
      <c r="AA579" s="106"/>
      <c r="AB579" s="106"/>
      <c r="AC579" s="106"/>
      <c r="AD579" s="106"/>
      <c r="AE579" s="106"/>
      <c r="AF579" s="106"/>
      <c r="AG579" s="106"/>
      <c r="AH579" s="106"/>
      <c r="AI579" s="106"/>
      <c r="AJ579" s="106"/>
    </row>
    <row r="580" spans="1:36" s="6" customFormat="1" hidden="1">
      <c r="A580" s="106"/>
      <c r="B580" s="106"/>
      <c r="C580" s="106"/>
      <c r="D580" s="106"/>
      <c r="E580" s="106"/>
      <c r="F580" s="106"/>
      <c r="G580" s="106"/>
      <c r="H580" s="106"/>
      <c r="I580" s="106"/>
      <c r="J580" s="106"/>
      <c r="K580" s="106"/>
      <c r="L580" s="106"/>
      <c r="M580" s="106"/>
      <c r="N580" s="106"/>
      <c r="O580" s="106"/>
      <c r="P580" s="106"/>
      <c r="Q580" s="106"/>
      <c r="R580" s="106"/>
      <c r="S580" s="106"/>
      <c r="T580" s="106"/>
      <c r="U580" s="106"/>
      <c r="V580" s="106"/>
      <c r="W580" s="106"/>
      <c r="X580" s="106"/>
      <c r="Y580" s="106"/>
      <c r="Z580" s="106"/>
      <c r="AA580" s="106"/>
      <c r="AB580" s="106"/>
      <c r="AC580" s="106"/>
      <c r="AD580" s="106"/>
      <c r="AE580" s="106"/>
      <c r="AF580" s="106"/>
      <c r="AG580" s="106"/>
      <c r="AH580" s="106"/>
      <c r="AI580" s="106"/>
      <c r="AJ580" s="106"/>
    </row>
    <row r="581" spans="1:36" s="6" customFormat="1" hidden="1">
      <c r="A581" s="106"/>
      <c r="B581" s="106"/>
      <c r="C581" s="106"/>
      <c r="D581" s="106"/>
      <c r="E581" s="106"/>
      <c r="F581" s="106"/>
      <c r="G581" s="106"/>
      <c r="H581" s="106"/>
      <c r="I581" s="106"/>
      <c r="J581" s="106"/>
      <c r="K581" s="106"/>
      <c r="L581" s="106"/>
      <c r="M581" s="106"/>
      <c r="N581" s="106"/>
      <c r="O581" s="106"/>
      <c r="P581" s="106"/>
      <c r="Q581" s="106"/>
      <c r="R581" s="106"/>
      <c r="S581" s="106"/>
      <c r="T581" s="106"/>
      <c r="U581" s="106"/>
      <c r="V581" s="106"/>
      <c r="W581" s="106"/>
      <c r="X581" s="106"/>
      <c r="Y581" s="106"/>
      <c r="Z581" s="106"/>
      <c r="AA581" s="106"/>
      <c r="AB581" s="106"/>
      <c r="AC581" s="106"/>
      <c r="AD581" s="106"/>
      <c r="AE581" s="106"/>
      <c r="AF581" s="106"/>
      <c r="AG581" s="106"/>
      <c r="AH581" s="106"/>
      <c r="AI581" s="106"/>
      <c r="AJ581" s="106"/>
    </row>
    <row r="582" spans="1:36" s="6" customFormat="1" hidden="1">
      <c r="A582" s="106"/>
      <c r="B582" s="106"/>
      <c r="C582" s="106"/>
      <c r="D582" s="106"/>
      <c r="E582" s="106"/>
      <c r="F582" s="106"/>
      <c r="G582" s="106"/>
      <c r="H582" s="106"/>
      <c r="I582" s="106"/>
      <c r="J582" s="106"/>
      <c r="K582" s="106"/>
      <c r="L582" s="106"/>
      <c r="M582" s="106"/>
      <c r="N582" s="106"/>
      <c r="O582" s="106"/>
      <c r="P582" s="106"/>
      <c r="Q582" s="106"/>
      <c r="R582" s="106"/>
      <c r="S582" s="106"/>
      <c r="T582" s="106"/>
      <c r="U582" s="106"/>
      <c r="V582" s="106"/>
      <c r="W582" s="106"/>
      <c r="X582" s="106"/>
      <c r="Y582" s="106"/>
      <c r="Z582" s="106"/>
      <c r="AA582" s="106"/>
      <c r="AB582" s="106"/>
      <c r="AC582" s="106"/>
      <c r="AD582" s="106"/>
      <c r="AE582" s="106"/>
      <c r="AF582" s="106"/>
      <c r="AG582" s="106"/>
      <c r="AH582" s="106"/>
      <c r="AI582" s="106"/>
      <c r="AJ582" s="106"/>
    </row>
    <row r="583" spans="1:36" s="6" customFormat="1" hidden="1">
      <c r="A583" s="106"/>
      <c r="B583" s="106"/>
      <c r="C583" s="106"/>
      <c r="D583" s="106"/>
      <c r="E583" s="106"/>
      <c r="F583" s="106"/>
      <c r="G583" s="106"/>
      <c r="H583" s="106"/>
      <c r="I583" s="106"/>
      <c r="J583" s="106"/>
      <c r="K583" s="106"/>
      <c r="L583" s="106"/>
      <c r="M583" s="106"/>
      <c r="N583" s="106"/>
      <c r="O583" s="106"/>
      <c r="P583" s="106"/>
      <c r="Q583" s="106"/>
      <c r="R583" s="106"/>
      <c r="S583" s="106"/>
      <c r="T583" s="106"/>
      <c r="U583" s="106"/>
      <c r="V583" s="106"/>
      <c r="W583" s="106"/>
      <c r="X583" s="106"/>
      <c r="Y583" s="106"/>
      <c r="Z583" s="106"/>
      <c r="AA583" s="106"/>
      <c r="AB583" s="106"/>
      <c r="AC583" s="106"/>
      <c r="AD583" s="106"/>
      <c r="AE583" s="106"/>
      <c r="AF583" s="106"/>
      <c r="AG583" s="106"/>
      <c r="AH583" s="106"/>
      <c r="AI583" s="106"/>
      <c r="AJ583" s="106"/>
    </row>
    <row r="584" spans="1:36" s="6" customFormat="1" hidden="1">
      <c r="A584" s="106"/>
      <c r="B584" s="106"/>
      <c r="C584" s="106"/>
      <c r="D584" s="106"/>
      <c r="E584" s="106"/>
      <c r="F584" s="106"/>
      <c r="G584" s="106"/>
      <c r="H584" s="106"/>
      <c r="I584" s="106"/>
      <c r="J584" s="106"/>
      <c r="K584" s="106"/>
      <c r="L584" s="106"/>
      <c r="M584" s="106"/>
      <c r="N584" s="106"/>
      <c r="O584" s="106"/>
      <c r="P584" s="106"/>
      <c r="Q584" s="106"/>
      <c r="R584" s="106"/>
      <c r="S584" s="106"/>
      <c r="T584" s="106"/>
      <c r="U584" s="106"/>
      <c r="V584" s="106"/>
      <c r="W584" s="106"/>
      <c r="X584" s="106"/>
      <c r="Y584" s="106"/>
      <c r="Z584" s="106"/>
      <c r="AA584" s="106"/>
      <c r="AB584" s="106"/>
      <c r="AC584" s="106"/>
      <c r="AD584" s="106"/>
      <c r="AE584" s="106"/>
      <c r="AF584" s="106"/>
      <c r="AG584" s="106"/>
      <c r="AH584" s="106"/>
      <c r="AI584" s="106"/>
      <c r="AJ584" s="106"/>
    </row>
    <row r="585" spans="1:36" s="6" customFormat="1" hidden="1">
      <c r="A585" s="106"/>
      <c r="B585" s="106"/>
      <c r="C585" s="106"/>
      <c r="D585" s="106"/>
      <c r="E585" s="106"/>
      <c r="F585" s="106"/>
      <c r="G585" s="106"/>
      <c r="H585" s="106"/>
      <c r="I585" s="106"/>
      <c r="J585" s="106"/>
      <c r="K585" s="106"/>
      <c r="L585" s="106"/>
      <c r="M585" s="106"/>
      <c r="N585" s="106"/>
      <c r="O585" s="106"/>
      <c r="P585" s="106"/>
      <c r="Q585" s="106"/>
      <c r="R585" s="106"/>
      <c r="S585" s="106"/>
      <c r="T585" s="106"/>
      <c r="U585" s="106"/>
      <c r="V585" s="106"/>
      <c r="W585" s="106"/>
      <c r="X585" s="106"/>
      <c r="Y585" s="106"/>
      <c r="Z585" s="106"/>
      <c r="AA585" s="106"/>
      <c r="AB585" s="106"/>
      <c r="AC585" s="106"/>
      <c r="AD585" s="106"/>
      <c r="AE585" s="106"/>
      <c r="AF585" s="106"/>
      <c r="AG585" s="106"/>
      <c r="AH585" s="106"/>
      <c r="AI585" s="106"/>
      <c r="AJ585" s="106"/>
    </row>
    <row r="586" spans="1:36" s="6" customFormat="1" hidden="1">
      <c r="A586" s="106"/>
      <c r="B586" s="106"/>
      <c r="C586" s="106"/>
      <c r="D586" s="106"/>
      <c r="E586" s="106"/>
      <c r="F586" s="106"/>
      <c r="G586" s="106"/>
      <c r="H586" s="106"/>
      <c r="I586" s="106"/>
      <c r="J586" s="106"/>
      <c r="K586" s="106"/>
      <c r="L586" s="106"/>
      <c r="M586" s="106"/>
      <c r="N586" s="106"/>
      <c r="O586" s="106"/>
      <c r="P586" s="106"/>
      <c r="Q586" s="106"/>
      <c r="R586" s="106"/>
      <c r="S586" s="106"/>
      <c r="T586" s="106"/>
      <c r="U586" s="106"/>
      <c r="V586" s="106"/>
      <c r="W586" s="106"/>
      <c r="X586" s="106"/>
      <c r="Y586" s="106"/>
      <c r="Z586" s="106"/>
      <c r="AA586" s="106"/>
      <c r="AB586" s="106"/>
      <c r="AC586" s="106"/>
      <c r="AD586" s="106"/>
      <c r="AE586" s="106"/>
      <c r="AF586" s="106"/>
      <c r="AG586" s="106"/>
      <c r="AH586" s="106"/>
      <c r="AI586" s="106"/>
      <c r="AJ586" s="106"/>
    </row>
    <row r="587" spans="1:36" s="6" customFormat="1" hidden="1">
      <c r="A587" s="106"/>
      <c r="B587" s="106"/>
      <c r="C587" s="106"/>
      <c r="D587" s="106"/>
      <c r="E587" s="106"/>
      <c r="F587" s="106"/>
      <c r="G587" s="106"/>
      <c r="H587" s="106"/>
      <c r="I587" s="106"/>
      <c r="J587" s="106"/>
      <c r="K587" s="106"/>
      <c r="L587" s="106"/>
      <c r="M587" s="106"/>
      <c r="N587" s="106"/>
      <c r="O587" s="106"/>
      <c r="P587" s="106"/>
      <c r="Q587" s="106"/>
      <c r="R587" s="106"/>
      <c r="S587" s="106"/>
      <c r="T587" s="106"/>
      <c r="U587" s="106"/>
      <c r="V587" s="106"/>
      <c r="W587" s="106"/>
      <c r="X587" s="106"/>
      <c r="Y587" s="106"/>
      <c r="Z587" s="106"/>
      <c r="AA587" s="106"/>
      <c r="AB587" s="106"/>
      <c r="AC587" s="106"/>
      <c r="AD587" s="106"/>
      <c r="AE587" s="106"/>
      <c r="AF587" s="106"/>
      <c r="AG587" s="106"/>
      <c r="AH587" s="106"/>
      <c r="AI587" s="106"/>
      <c r="AJ587" s="106"/>
    </row>
    <row r="588" spans="1:36" s="6" customFormat="1" hidden="1">
      <c r="A588" s="106"/>
      <c r="B588" s="106"/>
      <c r="C588" s="106"/>
      <c r="D588" s="106"/>
      <c r="E588" s="106"/>
      <c r="F588" s="106"/>
      <c r="G588" s="106"/>
      <c r="H588" s="106"/>
      <c r="I588" s="106"/>
      <c r="J588" s="106"/>
      <c r="K588" s="106"/>
      <c r="L588" s="106"/>
      <c r="M588" s="106"/>
      <c r="N588" s="106"/>
      <c r="O588" s="106"/>
      <c r="P588" s="106"/>
      <c r="Q588" s="106"/>
      <c r="R588" s="106"/>
      <c r="S588" s="106"/>
      <c r="T588" s="106"/>
      <c r="U588" s="106"/>
      <c r="V588" s="106"/>
      <c r="W588" s="106"/>
      <c r="X588" s="106"/>
      <c r="Y588" s="106"/>
      <c r="Z588" s="106"/>
      <c r="AA588" s="106"/>
      <c r="AB588" s="106"/>
      <c r="AC588" s="106"/>
      <c r="AD588" s="106"/>
      <c r="AE588" s="106"/>
      <c r="AF588" s="106"/>
      <c r="AG588" s="106"/>
      <c r="AH588" s="106"/>
      <c r="AI588" s="106"/>
      <c r="AJ588" s="106"/>
    </row>
    <row r="589" spans="1:36" s="6" customFormat="1" hidden="1">
      <c r="A589" s="106"/>
      <c r="B589" s="106"/>
      <c r="C589" s="106"/>
      <c r="D589" s="106"/>
      <c r="E589" s="106"/>
      <c r="F589" s="106"/>
      <c r="G589" s="106"/>
      <c r="H589" s="106"/>
      <c r="I589" s="106"/>
      <c r="J589" s="106"/>
      <c r="K589" s="106"/>
      <c r="L589" s="106"/>
      <c r="M589" s="106"/>
      <c r="N589" s="106"/>
      <c r="O589" s="106"/>
      <c r="P589" s="106"/>
      <c r="Q589" s="106"/>
      <c r="R589" s="106"/>
      <c r="S589" s="106"/>
      <c r="T589" s="106"/>
      <c r="U589" s="106"/>
      <c r="V589" s="106"/>
      <c r="W589" s="106"/>
      <c r="X589" s="106"/>
      <c r="Y589" s="106"/>
      <c r="Z589" s="106"/>
      <c r="AA589" s="106"/>
      <c r="AB589" s="106"/>
      <c r="AC589" s="106"/>
      <c r="AD589" s="106"/>
      <c r="AE589" s="106"/>
      <c r="AF589" s="106"/>
      <c r="AG589" s="106"/>
      <c r="AH589" s="106"/>
      <c r="AI589" s="106"/>
      <c r="AJ589" s="106"/>
    </row>
    <row r="590" spans="1:36" s="6" customFormat="1" hidden="1">
      <c r="A590" s="106"/>
      <c r="B590" s="106"/>
      <c r="C590" s="106"/>
      <c r="D590" s="106"/>
      <c r="E590" s="106"/>
      <c r="F590" s="106"/>
      <c r="G590" s="106"/>
      <c r="H590" s="106"/>
      <c r="I590" s="106"/>
      <c r="J590" s="106"/>
      <c r="K590" s="106"/>
      <c r="L590" s="106"/>
      <c r="M590" s="106"/>
      <c r="N590" s="106"/>
      <c r="O590" s="106"/>
      <c r="P590" s="106"/>
      <c r="Q590" s="106"/>
      <c r="R590" s="106"/>
      <c r="S590" s="106"/>
      <c r="T590" s="106"/>
      <c r="U590" s="106"/>
      <c r="V590" s="106"/>
      <c r="W590" s="106"/>
      <c r="X590" s="106"/>
      <c r="Y590" s="106"/>
      <c r="Z590" s="106"/>
      <c r="AA590" s="106"/>
      <c r="AB590" s="106"/>
      <c r="AC590" s="106"/>
      <c r="AD590" s="106"/>
      <c r="AE590" s="106"/>
      <c r="AF590" s="106"/>
      <c r="AG590" s="106"/>
      <c r="AH590" s="106"/>
      <c r="AI590" s="106"/>
      <c r="AJ590" s="106"/>
    </row>
    <row r="591" spans="1:36" s="6" customFormat="1" hidden="1">
      <c r="A591" s="106"/>
      <c r="B591" s="106"/>
      <c r="C591" s="106"/>
      <c r="D591" s="106"/>
      <c r="E591" s="106"/>
      <c r="F591" s="106"/>
      <c r="G591" s="106"/>
      <c r="H591" s="106"/>
      <c r="I591" s="106"/>
      <c r="J591" s="106"/>
      <c r="K591" s="106"/>
      <c r="L591" s="106"/>
      <c r="M591" s="106"/>
      <c r="N591" s="106"/>
      <c r="O591" s="106"/>
      <c r="P591" s="106"/>
      <c r="Q591" s="106"/>
      <c r="R591" s="106"/>
      <c r="S591" s="106"/>
      <c r="T591" s="106"/>
      <c r="U591" s="106"/>
      <c r="V591" s="106"/>
      <c r="W591" s="106"/>
      <c r="X591" s="106"/>
      <c r="Y591" s="106"/>
      <c r="Z591" s="106"/>
      <c r="AA591" s="106"/>
      <c r="AB591" s="106"/>
      <c r="AC591" s="106"/>
      <c r="AD591" s="106"/>
      <c r="AE591" s="106"/>
      <c r="AF591" s="106"/>
      <c r="AG591" s="106"/>
      <c r="AH591" s="106"/>
      <c r="AI591" s="106"/>
      <c r="AJ591" s="106"/>
    </row>
    <row r="592" spans="1:36" s="6" customFormat="1" hidden="1">
      <c r="A592" s="106"/>
      <c r="B592" s="106"/>
      <c r="C592" s="106"/>
      <c r="D592" s="106"/>
      <c r="E592" s="106"/>
      <c r="F592" s="106"/>
      <c r="G592" s="106"/>
      <c r="H592" s="106"/>
      <c r="I592" s="106"/>
      <c r="J592" s="106"/>
      <c r="K592" s="106"/>
      <c r="L592" s="106"/>
      <c r="M592" s="106"/>
      <c r="N592" s="106"/>
      <c r="O592" s="106"/>
      <c r="P592" s="106"/>
      <c r="Q592" s="106"/>
      <c r="R592" s="106"/>
      <c r="S592" s="106"/>
      <c r="T592" s="106"/>
      <c r="U592" s="106"/>
      <c r="V592" s="106"/>
      <c r="W592" s="106"/>
      <c r="X592" s="106"/>
      <c r="Y592" s="106"/>
      <c r="Z592" s="106"/>
      <c r="AA592" s="106"/>
      <c r="AB592" s="106"/>
      <c r="AC592" s="106"/>
      <c r="AD592" s="106"/>
      <c r="AE592" s="106"/>
      <c r="AF592" s="106"/>
      <c r="AG592" s="106"/>
      <c r="AH592" s="106"/>
      <c r="AI592" s="106"/>
      <c r="AJ592" s="106"/>
    </row>
    <row r="593" spans="1:36" s="6" customFormat="1" hidden="1">
      <c r="A593" s="106"/>
      <c r="B593" s="106"/>
      <c r="C593" s="106"/>
      <c r="D593" s="106"/>
      <c r="E593" s="106"/>
      <c r="F593" s="106"/>
      <c r="G593" s="106"/>
      <c r="H593" s="106"/>
      <c r="I593" s="106"/>
      <c r="J593" s="106"/>
      <c r="K593" s="106"/>
      <c r="L593" s="106"/>
      <c r="M593" s="106"/>
      <c r="N593" s="106"/>
      <c r="O593" s="106"/>
      <c r="P593" s="106"/>
      <c r="Q593" s="106"/>
      <c r="R593" s="106"/>
      <c r="S593" s="106"/>
      <c r="T593" s="106"/>
      <c r="U593" s="106"/>
      <c r="V593" s="106"/>
      <c r="W593" s="106"/>
      <c r="X593" s="106"/>
      <c r="Y593" s="106"/>
      <c r="Z593" s="106"/>
      <c r="AA593" s="106"/>
      <c r="AB593" s="106"/>
      <c r="AC593" s="106"/>
      <c r="AD593" s="106"/>
      <c r="AE593" s="106"/>
      <c r="AF593" s="106"/>
      <c r="AG593" s="106"/>
      <c r="AH593" s="106"/>
      <c r="AI593" s="106"/>
      <c r="AJ593" s="106"/>
    </row>
    <row r="594" spans="1:36" s="6" customFormat="1" hidden="1">
      <c r="A594" s="106"/>
      <c r="B594" s="106"/>
      <c r="C594" s="106"/>
      <c r="D594" s="106"/>
      <c r="E594" s="106"/>
      <c r="F594" s="106"/>
      <c r="G594" s="106"/>
      <c r="H594" s="106"/>
      <c r="I594" s="106"/>
      <c r="J594" s="106"/>
      <c r="K594" s="106"/>
      <c r="L594" s="106"/>
      <c r="M594" s="106"/>
      <c r="N594" s="106"/>
      <c r="O594" s="106"/>
      <c r="P594" s="106"/>
      <c r="Q594" s="106"/>
      <c r="R594" s="106"/>
      <c r="S594" s="106"/>
      <c r="T594" s="106"/>
      <c r="U594" s="106"/>
      <c r="V594" s="106"/>
      <c r="W594" s="106"/>
      <c r="X594" s="106"/>
      <c r="Y594" s="106"/>
      <c r="Z594" s="106"/>
      <c r="AA594" s="106"/>
      <c r="AB594" s="106"/>
      <c r="AC594" s="106"/>
      <c r="AD594" s="106"/>
      <c r="AE594" s="106"/>
      <c r="AF594" s="106"/>
      <c r="AG594" s="106"/>
      <c r="AH594" s="106"/>
      <c r="AI594" s="106"/>
      <c r="AJ594" s="106"/>
    </row>
    <row r="595" spans="1:36" s="6" customFormat="1" hidden="1">
      <c r="A595" s="106"/>
      <c r="B595" s="106"/>
      <c r="C595" s="106"/>
      <c r="D595" s="106"/>
      <c r="E595" s="106"/>
      <c r="F595" s="106"/>
      <c r="G595" s="106"/>
      <c r="H595" s="106"/>
      <c r="I595" s="106"/>
      <c r="J595" s="106"/>
      <c r="K595" s="106"/>
      <c r="L595" s="106"/>
      <c r="M595" s="106"/>
      <c r="N595" s="106"/>
      <c r="O595" s="106"/>
      <c r="P595" s="106"/>
      <c r="Q595" s="106"/>
      <c r="R595" s="106"/>
      <c r="S595" s="106"/>
      <c r="T595" s="106"/>
      <c r="U595" s="106"/>
      <c r="V595" s="106"/>
      <c r="W595" s="106"/>
      <c r="X595" s="106"/>
      <c r="Y595" s="106"/>
      <c r="Z595" s="106"/>
      <c r="AA595" s="106"/>
      <c r="AB595" s="106"/>
      <c r="AC595" s="106"/>
      <c r="AD595" s="106"/>
      <c r="AE595" s="106"/>
      <c r="AF595" s="106"/>
      <c r="AG595" s="106"/>
      <c r="AH595" s="106"/>
      <c r="AI595" s="106"/>
      <c r="AJ595" s="106"/>
    </row>
    <row r="596" spans="1:36" s="6" customFormat="1" hidden="1">
      <c r="A596" s="106"/>
      <c r="B596" s="106"/>
      <c r="C596" s="106"/>
      <c r="D596" s="106"/>
      <c r="E596" s="106"/>
      <c r="F596" s="106"/>
      <c r="G596" s="106"/>
      <c r="H596" s="106"/>
      <c r="I596" s="106"/>
      <c r="J596" s="106"/>
      <c r="K596" s="106"/>
      <c r="L596" s="106"/>
      <c r="M596" s="106"/>
      <c r="N596" s="106"/>
      <c r="O596" s="106"/>
      <c r="P596" s="106"/>
      <c r="Q596" s="106"/>
      <c r="R596" s="106"/>
      <c r="S596" s="106"/>
      <c r="T596" s="106"/>
      <c r="U596" s="106"/>
      <c r="V596" s="106"/>
      <c r="W596" s="106"/>
      <c r="X596" s="106"/>
      <c r="Y596" s="106"/>
      <c r="Z596" s="106"/>
      <c r="AA596" s="106"/>
      <c r="AB596" s="106"/>
      <c r="AC596" s="106"/>
      <c r="AD596" s="106"/>
      <c r="AE596" s="106"/>
      <c r="AF596" s="106"/>
      <c r="AG596" s="106"/>
      <c r="AH596" s="106"/>
      <c r="AI596" s="106"/>
      <c r="AJ596" s="106"/>
    </row>
    <row r="597" spans="1:36" s="6" customFormat="1" hidden="1">
      <c r="A597" s="106"/>
      <c r="B597" s="106"/>
      <c r="C597" s="106"/>
      <c r="D597" s="106"/>
      <c r="E597" s="106"/>
      <c r="F597" s="106"/>
      <c r="G597" s="106"/>
      <c r="H597" s="106"/>
      <c r="I597" s="106"/>
      <c r="J597" s="106"/>
      <c r="K597" s="106"/>
      <c r="L597" s="106"/>
      <c r="M597" s="106"/>
      <c r="N597" s="106"/>
      <c r="O597" s="106"/>
      <c r="P597" s="106"/>
      <c r="Q597" s="106"/>
      <c r="R597" s="106"/>
      <c r="S597" s="106"/>
      <c r="T597" s="106"/>
      <c r="U597" s="106"/>
      <c r="V597" s="106"/>
      <c r="W597" s="106"/>
      <c r="X597" s="106"/>
      <c r="Y597" s="106"/>
      <c r="Z597" s="106"/>
      <c r="AA597" s="106"/>
      <c r="AB597" s="106"/>
      <c r="AC597" s="106"/>
      <c r="AD597" s="106"/>
      <c r="AE597" s="106"/>
      <c r="AF597" s="106"/>
      <c r="AG597" s="106"/>
      <c r="AH597" s="106"/>
      <c r="AI597" s="106"/>
      <c r="AJ597" s="106"/>
    </row>
    <row r="598" spans="1:36" s="6" customFormat="1" hidden="1">
      <c r="A598" s="106"/>
      <c r="B598" s="106"/>
      <c r="C598" s="106"/>
      <c r="D598" s="106"/>
      <c r="E598" s="106"/>
      <c r="F598" s="106"/>
      <c r="G598" s="106"/>
      <c r="H598" s="106"/>
      <c r="I598" s="106"/>
      <c r="J598" s="106"/>
      <c r="K598" s="106"/>
      <c r="L598" s="106"/>
      <c r="M598" s="106"/>
      <c r="N598" s="106"/>
      <c r="O598" s="106"/>
      <c r="P598" s="106"/>
      <c r="Q598" s="106"/>
      <c r="R598" s="106"/>
      <c r="S598" s="106"/>
      <c r="T598" s="106"/>
      <c r="U598" s="106"/>
      <c r="V598" s="106"/>
      <c r="W598" s="106"/>
      <c r="X598" s="106"/>
      <c r="Y598" s="106"/>
      <c r="Z598" s="106"/>
      <c r="AA598" s="106"/>
      <c r="AB598" s="106"/>
      <c r="AC598" s="106"/>
      <c r="AD598" s="106"/>
      <c r="AE598" s="106"/>
      <c r="AF598" s="106"/>
      <c r="AG598" s="106"/>
      <c r="AH598" s="106"/>
      <c r="AI598" s="106"/>
      <c r="AJ598" s="106"/>
    </row>
    <row r="599" spans="1:36" s="6" customFormat="1" hidden="1">
      <c r="A599" s="106"/>
      <c r="B599" s="106"/>
      <c r="C599" s="106"/>
      <c r="D599" s="106"/>
      <c r="E599" s="106"/>
      <c r="F599" s="106"/>
      <c r="G599" s="106"/>
      <c r="H599" s="106"/>
      <c r="I599" s="106"/>
      <c r="J599" s="106"/>
      <c r="K599" s="106"/>
      <c r="L599" s="106"/>
      <c r="M599" s="106"/>
      <c r="N599" s="106"/>
      <c r="O599" s="106"/>
      <c r="P599" s="106"/>
      <c r="Q599" s="106"/>
      <c r="R599" s="106"/>
      <c r="S599" s="106"/>
      <c r="T599" s="106"/>
      <c r="U599" s="106"/>
      <c r="V599" s="106"/>
      <c r="W599" s="106"/>
      <c r="X599" s="106"/>
      <c r="Y599" s="106"/>
      <c r="Z599" s="106"/>
      <c r="AA599" s="106"/>
      <c r="AB599" s="106"/>
      <c r="AC599" s="106"/>
      <c r="AD599" s="106"/>
      <c r="AE599" s="106"/>
      <c r="AF599" s="106"/>
      <c r="AG599" s="106"/>
      <c r="AH599" s="106"/>
      <c r="AI599" s="106"/>
      <c r="AJ599" s="106"/>
    </row>
    <row r="600" spans="1:36" s="6" customFormat="1" hidden="1">
      <c r="A600" s="106"/>
      <c r="B600" s="106"/>
      <c r="C600" s="106"/>
      <c r="D600" s="106"/>
      <c r="E600" s="106"/>
      <c r="F600" s="106"/>
      <c r="G600" s="106"/>
      <c r="H600" s="106"/>
      <c r="I600" s="106"/>
      <c r="J600" s="106"/>
      <c r="K600" s="106"/>
      <c r="L600" s="106"/>
      <c r="M600" s="106"/>
      <c r="N600" s="106"/>
      <c r="O600" s="106"/>
      <c r="P600" s="106"/>
      <c r="Q600" s="106"/>
      <c r="R600" s="106"/>
      <c r="S600" s="106"/>
      <c r="T600" s="106"/>
      <c r="U600" s="106"/>
      <c r="V600" s="106"/>
      <c r="W600" s="106"/>
      <c r="X600" s="106"/>
      <c r="Y600" s="106"/>
      <c r="Z600" s="106"/>
      <c r="AA600" s="106"/>
      <c r="AB600" s="106"/>
      <c r="AC600" s="106"/>
      <c r="AD600" s="106"/>
      <c r="AE600" s="106"/>
      <c r="AF600" s="106"/>
      <c r="AG600" s="106"/>
      <c r="AH600" s="106"/>
      <c r="AI600" s="106"/>
      <c r="AJ600" s="106"/>
    </row>
    <row r="601" spans="1:36" s="6" customFormat="1" hidden="1">
      <c r="A601" s="106"/>
      <c r="B601" s="106"/>
      <c r="C601" s="106"/>
      <c r="D601" s="106"/>
      <c r="E601" s="106"/>
      <c r="F601" s="106"/>
      <c r="G601" s="106"/>
      <c r="H601" s="106"/>
      <c r="I601" s="106"/>
      <c r="J601" s="106"/>
      <c r="K601" s="106"/>
      <c r="L601" s="106"/>
      <c r="M601" s="106"/>
      <c r="N601" s="106"/>
      <c r="O601" s="106"/>
      <c r="P601" s="106"/>
      <c r="Q601" s="106"/>
      <c r="R601" s="106"/>
      <c r="S601" s="106"/>
      <c r="T601" s="106"/>
      <c r="U601" s="106"/>
      <c r="V601" s="106"/>
      <c r="W601" s="106"/>
      <c r="X601" s="106"/>
      <c r="Y601" s="106"/>
      <c r="Z601" s="106"/>
      <c r="AA601" s="106"/>
      <c r="AB601" s="106"/>
      <c r="AC601" s="106"/>
      <c r="AD601" s="106"/>
      <c r="AE601" s="106"/>
      <c r="AF601" s="106"/>
      <c r="AG601" s="106"/>
      <c r="AH601" s="106"/>
      <c r="AI601" s="106"/>
      <c r="AJ601" s="106"/>
    </row>
    <row r="602" spans="1:36" s="6" customFormat="1" hidden="1">
      <c r="A602" s="106"/>
      <c r="B602" s="106"/>
      <c r="C602" s="106"/>
      <c r="D602" s="106"/>
      <c r="E602" s="106"/>
      <c r="F602" s="106"/>
      <c r="G602" s="106"/>
      <c r="H602" s="106"/>
      <c r="I602" s="106"/>
      <c r="J602" s="106"/>
      <c r="K602" s="106"/>
      <c r="L602" s="106"/>
      <c r="M602" s="106"/>
      <c r="N602" s="106"/>
      <c r="O602" s="106"/>
      <c r="P602" s="106"/>
      <c r="Q602" s="106"/>
      <c r="R602" s="106"/>
      <c r="S602" s="106"/>
      <c r="T602" s="106"/>
      <c r="U602" s="106"/>
      <c r="V602" s="106"/>
      <c r="W602" s="106"/>
      <c r="X602" s="106"/>
      <c r="Y602" s="106"/>
      <c r="Z602" s="106"/>
      <c r="AA602" s="106"/>
      <c r="AB602" s="106"/>
      <c r="AC602" s="106"/>
      <c r="AD602" s="106"/>
      <c r="AE602" s="106"/>
      <c r="AF602" s="106"/>
      <c r="AG602" s="106"/>
      <c r="AH602" s="106"/>
      <c r="AI602" s="106"/>
      <c r="AJ602" s="106"/>
    </row>
    <row r="603" spans="1:36" s="6" customFormat="1" hidden="1">
      <c r="A603" s="106"/>
      <c r="B603" s="106"/>
      <c r="C603" s="106"/>
      <c r="D603" s="106"/>
      <c r="E603" s="106"/>
      <c r="F603" s="106"/>
      <c r="G603" s="106"/>
      <c r="H603" s="106"/>
      <c r="I603" s="106"/>
      <c r="J603" s="106"/>
      <c r="K603" s="106"/>
      <c r="L603" s="106"/>
      <c r="M603" s="106"/>
      <c r="N603" s="106"/>
      <c r="O603" s="106"/>
      <c r="P603" s="106"/>
      <c r="Q603" s="106"/>
      <c r="R603" s="106"/>
      <c r="S603" s="106"/>
      <c r="T603" s="106"/>
      <c r="U603" s="106"/>
      <c r="V603" s="106"/>
      <c r="W603" s="106"/>
      <c r="X603" s="106"/>
      <c r="Y603" s="106"/>
      <c r="Z603" s="106"/>
      <c r="AA603" s="106"/>
      <c r="AB603" s="106"/>
      <c r="AC603" s="106"/>
      <c r="AD603" s="106"/>
      <c r="AE603" s="106"/>
      <c r="AF603" s="106"/>
      <c r="AG603" s="106"/>
      <c r="AH603" s="106"/>
      <c r="AI603" s="106"/>
      <c r="AJ603" s="106"/>
    </row>
    <row r="604" spans="1:36" s="6" customFormat="1" hidden="1">
      <c r="A604" s="106"/>
      <c r="B604" s="106"/>
      <c r="C604" s="106"/>
      <c r="D604" s="106"/>
      <c r="E604" s="106"/>
      <c r="F604" s="106"/>
      <c r="G604" s="106"/>
      <c r="H604" s="106"/>
      <c r="I604" s="106"/>
      <c r="J604" s="106"/>
      <c r="K604" s="106"/>
      <c r="L604" s="106"/>
      <c r="M604" s="106"/>
      <c r="N604" s="106"/>
      <c r="O604" s="106"/>
      <c r="P604" s="106"/>
      <c r="Q604" s="106"/>
      <c r="R604" s="106"/>
      <c r="S604" s="106"/>
      <c r="T604" s="106"/>
      <c r="U604" s="106"/>
      <c r="V604" s="106"/>
      <c r="W604" s="106"/>
      <c r="X604" s="106"/>
      <c r="Y604" s="106"/>
      <c r="Z604" s="106"/>
      <c r="AA604" s="106"/>
      <c r="AB604" s="106"/>
      <c r="AC604" s="106"/>
      <c r="AD604" s="106"/>
      <c r="AE604" s="106"/>
      <c r="AF604" s="106"/>
      <c r="AG604" s="106"/>
      <c r="AH604" s="106"/>
      <c r="AI604" s="106"/>
      <c r="AJ604" s="106"/>
    </row>
    <row r="605" spans="1:36" s="6" customFormat="1" hidden="1">
      <c r="A605" s="106"/>
      <c r="B605" s="106"/>
      <c r="C605" s="106"/>
      <c r="D605" s="106"/>
      <c r="E605" s="106"/>
      <c r="F605" s="106"/>
      <c r="G605" s="106"/>
      <c r="H605" s="106"/>
      <c r="I605" s="106"/>
      <c r="J605" s="106"/>
      <c r="K605" s="106"/>
      <c r="L605" s="106"/>
      <c r="M605" s="106"/>
      <c r="N605" s="106"/>
      <c r="O605" s="106"/>
      <c r="P605" s="106"/>
      <c r="Q605" s="106"/>
      <c r="R605" s="106"/>
      <c r="S605" s="106"/>
      <c r="T605" s="106"/>
      <c r="U605" s="106"/>
      <c r="V605" s="106"/>
      <c r="W605" s="106"/>
      <c r="X605" s="106"/>
      <c r="Y605" s="106"/>
      <c r="Z605" s="106"/>
      <c r="AA605" s="106"/>
      <c r="AB605" s="106"/>
      <c r="AC605" s="106"/>
      <c r="AD605" s="106"/>
      <c r="AE605" s="106"/>
      <c r="AF605" s="106"/>
      <c r="AG605" s="106"/>
      <c r="AH605" s="106"/>
      <c r="AI605" s="106"/>
      <c r="AJ605" s="106"/>
    </row>
    <row r="606" spans="1:36" s="6" customFormat="1" hidden="1">
      <c r="A606" s="106"/>
      <c r="B606" s="106"/>
      <c r="C606" s="106"/>
      <c r="D606" s="106"/>
      <c r="E606" s="106"/>
      <c r="F606" s="106"/>
      <c r="G606" s="106"/>
      <c r="H606" s="106"/>
      <c r="I606" s="106"/>
      <c r="J606" s="106"/>
      <c r="K606" s="106"/>
      <c r="L606" s="106"/>
      <c r="M606" s="106"/>
      <c r="N606" s="106"/>
      <c r="O606" s="106"/>
      <c r="P606" s="106"/>
      <c r="Q606" s="106"/>
      <c r="R606" s="106"/>
      <c r="S606" s="106"/>
      <c r="T606" s="106"/>
      <c r="U606" s="106"/>
      <c r="V606" s="106"/>
      <c r="W606" s="106"/>
      <c r="X606" s="106"/>
      <c r="Y606" s="106"/>
      <c r="Z606" s="106"/>
      <c r="AA606" s="106"/>
      <c r="AB606" s="106"/>
      <c r="AC606" s="106"/>
      <c r="AD606" s="106"/>
      <c r="AE606" s="106"/>
      <c r="AF606" s="106"/>
      <c r="AG606" s="106"/>
      <c r="AH606" s="106"/>
      <c r="AI606" s="106"/>
      <c r="AJ606" s="106"/>
    </row>
    <row r="607" spans="1:36" s="6" customFormat="1" hidden="1">
      <c r="A607" s="106"/>
      <c r="B607" s="106"/>
      <c r="C607" s="106"/>
      <c r="D607" s="106"/>
      <c r="E607" s="106"/>
      <c r="F607" s="106"/>
      <c r="G607" s="106"/>
      <c r="H607" s="106"/>
      <c r="I607" s="106"/>
      <c r="J607" s="106"/>
      <c r="K607" s="106"/>
      <c r="L607" s="106"/>
      <c r="M607" s="106"/>
      <c r="N607" s="106"/>
      <c r="O607" s="106"/>
      <c r="P607" s="106"/>
      <c r="Q607" s="106"/>
      <c r="R607" s="106"/>
      <c r="S607" s="106"/>
      <c r="T607" s="106"/>
      <c r="U607" s="106"/>
      <c r="V607" s="106"/>
      <c r="W607" s="106"/>
      <c r="X607" s="106"/>
      <c r="Y607" s="106"/>
      <c r="Z607" s="106"/>
      <c r="AA607" s="106"/>
      <c r="AB607" s="106"/>
      <c r="AC607" s="106"/>
      <c r="AD607" s="106"/>
      <c r="AE607" s="106"/>
      <c r="AF607" s="106"/>
      <c r="AG607" s="106"/>
      <c r="AH607" s="106"/>
      <c r="AI607" s="106"/>
      <c r="AJ607" s="106"/>
    </row>
    <row r="608" spans="1:36" s="6" customFormat="1" hidden="1">
      <c r="A608" s="106"/>
      <c r="B608" s="106"/>
      <c r="C608" s="106"/>
      <c r="D608" s="106"/>
      <c r="E608" s="106"/>
      <c r="F608" s="106"/>
      <c r="G608" s="106"/>
      <c r="H608" s="106"/>
      <c r="I608" s="106"/>
      <c r="J608" s="106"/>
      <c r="K608" s="106"/>
      <c r="L608" s="106"/>
      <c r="M608" s="106"/>
      <c r="N608" s="106"/>
      <c r="O608" s="106"/>
      <c r="P608" s="106"/>
      <c r="Q608" s="106"/>
      <c r="R608" s="106"/>
      <c r="S608" s="106"/>
      <c r="T608" s="106"/>
      <c r="U608" s="106"/>
      <c r="V608" s="106"/>
      <c r="W608" s="106"/>
      <c r="X608" s="106"/>
      <c r="Y608" s="106"/>
      <c r="Z608" s="106"/>
      <c r="AA608" s="106"/>
      <c r="AB608" s="106"/>
      <c r="AC608" s="106"/>
      <c r="AD608" s="106"/>
      <c r="AE608" s="106"/>
      <c r="AF608" s="106"/>
      <c r="AG608" s="106"/>
      <c r="AH608" s="106"/>
      <c r="AI608" s="106"/>
      <c r="AJ608" s="106"/>
    </row>
    <row r="609" spans="1:36" s="6" customFormat="1" hidden="1">
      <c r="A609" s="106"/>
      <c r="B609" s="106"/>
      <c r="C609" s="106"/>
      <c r="D609" s="106"/>
      <c r="E609" s="106"/>
      <c r="F609" s="106"/>
      <c r="G609" s="106"/>
      <c r="H609" s="106"/>
      <c r="I609" s="106"/>
      <c r="J609" s="106"/>
      <c r="K609" s="106"/>
      <c r="L609" s="106"/>
      <c r="M609" s="106"/>
      <c r="N609" s="106"/>
      <c r="O609" s="106"/>
      <c r="P609" s="106"/>
      <c r="Q609" s="106"/>
      <c r="R609" s="106"/>
      <c r="S609" s="106"/>
      <c r="T609" s="106"/>
      <c r="U609" s="106"/>
      <c r="V609" s="106"/>
      <c r="W609" s="106"/>
      <c r="X609" s="106"/>
      <c r="Y609" s="106"/>
      <c r="Z609" s="106"/>
      <c r="AA609" s="106"/>
      <c r="AB609" s="106"/>
      <c r="AC609" s="106"/>
      <c r="AD609" s="106"/>
      <c r="AE609" s="106"/>
      <c r="AF609" s="106"/>
      <c r="AG609" s="106"/>
      <c r="AH609" s="106"/>
      <c r="AI609" s="106"/>
      <c r="AJ609" s="106"/>
    </row>
    <row r="610" spans="1:36" s="6" customFormat="1" hidden="1">
      <c r="A610" s="106"/>
      <c r="B610" s="106"/>
      <c r="C610" s="106"/>
      <c r="D610" s="106"/>
      <c r="E610" s="106"/>
      <c r="F610" s="106"/>
      <c r="G610" s="106"/>
      <c r="H610" s="106"/>
      <c r="I610" s="106"/>
      <c r="J610" s="106"/>
      <c r="K610" s="106"/>
      <c r="L610" s="106"/>
      <c r="M610" s="106"/>
      <c r="N610" s="106"/>
      <c r="O610" s="106"/>
      <c r="P610" s="106"/>
      <c r="Q610" s="106"/>
      <c r="R610" s="106"/>
      <c r="S610" s="106"/>
      <c r="T610" s="106"/>
      <c r="U610" s="106"/>
      <c r="V610" s="106"/>
      <c r="W610" s="106"/>
      <c r="X610" s="106"/>
      <c r="Y610" s="106"/>
      <c r="Z610" s="106"/>
      <c r="AA610" s="106"/>
      <c r="AB610" s="106"/>
      <c r="AC610" s="106"/>
      <c r="AD610" s="106"/>
      <c r="AE610" s="106"/>
      <c r="AF610" s="106"/>
      <c r="AG610" s="106"/>
      <c r="AH610" s="106"/>
      <c r="AI610" s="106"/>
      <c r="AJ610" s="106"/>
    </row>
    <row r="611" spans="1:36" s="6" customFormat="1" hidden="1">
      <c r="A611" s="106"/>
      <c r="B611" s="106"/>
      <c r="C611" s="106"/>
      <c r="D611" s="106"/>
      <c r="E611" s="106"/>
      <c r="F611" s="106"/>
      <c r="G611" s="106"/>
      <c r="H611" s="106"/>
      <c r="I611" s="106"/>
      <c r="J611" s="106"/>
      <c r="K611" s="106"/>
      <c r="L611" s="106"/>
      <c r="M611" s="106"/>
      <c r="N611" s="106"/>
      <c r="O611" s="106"/>
      <c r="P611" s="106"/>
      <c r="Q611" s="106"/>
      <c r="R611" s="106"/>
      <c r="S611" s="106"/>
      <c r="T611" s="106"/>
      <c r="U611" s="106"/>
      <c r="V611" s="106"/>
      <c r="W611" s="106"/>
      <c r="X611" s="106"/>
      <c r="Y611" s="106"/>
      <c r="Z611" s="106"/>
      <c r="AA611" s="106"/>
      <c r="AB611" s="106"/>
      <c r="AC611" s="106"/>
      <c r="AD611" s="106"/>
      <c r="AE611" s="106"/>
      <c r="AF611" s="106"/>
      <c r="AG611" s="106"/>
      <c r="AH611" s="106"/>
      <c r="AI611" s="106"/>
      <c r="AJ611" s="106"/>
    </row>
    <row r="612" spans="1:36" s="6" customFormat="1" hidden="1">
      <c r="A612" s="106"/>
      <c r="B612" s="106"/>
      <c r="C612" s="106"/>
      <c r="D612" s="106"/>
      <c r="E612" s="106"/>
      <c r="F612" s="106"/>
      <c r="G612" s="106"/>
      <c r="H612" s="106"/>
      <c r="I612" s="106"/>
      <c r="J612" s="106"/>
      <c r="K612" s="106"/>
      <c r="L612" s="106"/>
      <c r="M612" s="106"/>
      <c r="N612" s="106"/>
      <c r="O612" s="106"/>
      <c r="P612" s="106"/>
      <c r="Q612" s="106"/>
      <c r="R612" s="106"/>
      <c r="S612" s="106"/>
      <c r="T612" s="106"/>
      <c r="U612" s="106"/>
      <c r="V612" s="106"/>
      <c r="W612" s="106"/>
      <c r="X612" s="106"/>
      <c r="Y612" s="106"/>
      <c r="Z612" s="106"/>
      <c r="AA612" s="106"/>
      <c r="AB612" s="106"/>
      <c r="AC612" s="106"/>
      <c r="AD612" s="106"/>
      <c r="AE612" s="106"/>
      <c r="AF612" s="106"/>
      <c r="AG612" s="106"/>
      <c r="AH612" s="106"/>
      <c r="AI612" s="106"/>
      <c r="AJ612" s="106"/>
    </row>
    <row r="613" spans="1:36" hidden="1"/>
    <row r="614" spans="1:36" hidden="1"/>
    <row r="615" spans="1:36" hidden="1"/>
    <row r="616" spans="1:36" hidden="1"/>
    <row r="617" spans="1:36" hidden="1"/>
    <row r="618" spans="1:36" hidden="1"/>
    <row r="619" spans="1:36" hidden="1"/>
    <row r="620" spans="1:36" hidden="1"/>
    <row r="621" spans="1:36" hidden="1"/>
    <row r="622" spans="1:36" hidden="1"/>
    <row r="623" spans="1:36" hidden="1"/>
    <row r="624" spans="1:36"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t="20.100000000000001" hidden="1" customHeight="1"/>
    <row r="644" hidden="1"/>
    <row r="645" hidden="1"/>
    <row r="646" hidden="1"/>
    <row r="647" hidden="1"/>
    <row r="648" ht="30" hidden="1" customHeight="1"/>
    <row r="649" ht="30" hidden="1" customHeight="1"/>
    <row r="650" hidden="1"/>
    <row r="651" ht="30" hidden="1" customHeight="1"/>
    <row r="652" ht="24.95" hidden="1" customHeight="1"/>
    <row r="653" ht="24.95" hidden="1" customHeight="1"/>
    <row r="654" ht="24.95" hidden="1" customHeight="1"/>
    <row r="655" ht="24.95" hidden="1" customHeight="1"/>
    <row r="656" ht="24.95" hidden="1" customHeight="1"/>
    <row r="657" ht="24.95" hidden="1" customHeight="1"/>
    <row r="658" ht="24.95" hidden="1" customHeight="1"/>
    <row r="659" ht="24.95" hidden="1" customHeight="1"/>
    <row r="660" ht="24.95" hidden="1" customHeight="1"/>
    <row r="661" ht="24.95" hidden="1" customHeight="1"/>
    <row r="662" ht="24.95" hidden="1" customHeight="1"/>
    <row r="663" ht="24.95" hidden="1" customHeight="1"/>
    <row r="664" ht="24.95" hidden="1" customHeight="1"/>
    <row r="665" ht="24.95" hidden="1" customHeight="1"/>
    <row r="666" ht="24.95" hidden="1" customHeight="1"/>
    <row r="667" ht="24.95" hidden="1" customHeight="1"/>
    <row r="668" ht="24.95" hidden="1" customHeight="1"/>
    <row r="669" ht="24.95" hidden="1" customHeight="1"/>
    <row r="670" ht="24.95" hidden="1" customHeight="1"/>
    <row r="671" ht="24.95" hidden="1" customHeight="1"/>
    <row r="672" ht="24.95" hidden="1" customHeight="1"/>
    <row r="673" hidden="1"/>
    <row r="674" hidden="1"/>
    <row r="675" hidden="1"/>
    <row r="676" hidden="1"/>
    <row r="677" hidden="1"/>
    <row r="678" hidden="1"/>
    <row r="679" hidden="1"/>
    <row r="680" hidden="1"/>
    <row r="681"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sheetData>
  <sheetProtection password="C528" sheet="1" selectLockedCells="1"/>
  <mergeCells count="121">
    <mergeCell ref="Z83:AH83"/>
    <mergeCell ref="W64:X64"/>
    <mergeCell ref="Y64:Z64"/>
    <mergeCell ref="AA61:AH61"/>
    <mergeCell ref="AA62:AH62"/>
    <mergeCell ref="AA63:AH63"/>
    <mergeCell ref="AA64:AH64"/>
    <mergeCell ref="Y30:AB30"/>
    <mergeCell ref="Y31:AB31"/>
    <mergeCell ref="Z54:AA54"/>
    <mergeCell ref="V54:W54"/>
    <mergeCell ref="Z55:AA55"/>
    <mergeCell ref="X55:Y55"/>
    <mergeCell ref="AA65:AH65"/>
    <mergeCell ref="Z8:AH8"/>
    <mergeCell ref="Z9:AH9"/>
    <mergeCell ref="Z10:AH10"/>
    <mergeCell ref="L14:AH14"/>
    <mergeCell ref="M15:AH15"/>
    <mergeCell ref="AA16:AH16"/>
    <mergeCell ref="AC27:AH27"/>
    <mergeCell ref="K16:S16"/>
    <mergeCell ref="I17:T17"/>
    <mergeCell ref="AA17:AH17"/>
    <mergeCell ref="O26:R26"/>
    <mergeCell ref="S26:X26"/>
    <mergeCell ref="Y26:AB26"/>
    <mergeCell ref="AC26:AH26"/>
    <mergeCell ref="H21:AH21"/>
    <mergeCell ref="H20:AH20"/>
    <mergeCell ref="C26:H26"/>
    <mergeCell ref="I26:N26"/>
    <mergeCell ref="W30:X30"/>
    <mergeCell ref="C28:H28"/>
    <mergeCell ref="C29:H29"/>
    <mergeCell ref="C30:H30"/>
    <mergeCell ref="S27:X27"/>
    <mergeCell ref="O29:R29"/>
    <mergeCell ref="O27:R27"/>
    <mergeCell ref="W28:X28"/>
    <mergeCell ref="S29:T29"/>
    <mergeCell ref="U29:V29"/>
    <mergeCell ref="W29:X29"/>
    <mergeCell ref="Y27:AB27"/>
    <mergeCell ref="Y28:AB28"/>
    <mergeCell ref="Y29:AB29"/>
    <mergeCell ref="W31:X31"/>
    <mergeCell ref="V53:W53"/>
    <mergeCell ref="Z53:AA53"/>
    <mergeCell ref="Z52:AA52"/>
    <mergeCell ref="X53:Y53"/>
    <mergeCell ref="S31:T31"/>
    <mergeCell ref="U31:V31"/>
    <mergeCell ref="AB52:AH52"/>
    <mergeCell ref="S30:T30"/>
    <mergeCell ref="U30:V30"/>
    <mergeCell ref="AC28:AH28"/>
    <mergeCell ref="AC29:AH29"/>
    <mergeCell ref="AC30:AH30"/>
    <mergeCell ref="AC31:AH31"/>
    <mergeCell ref="AB53:AH53"/>
    <mergeCell ref="V52:W52"/>
    <mergeCell ref="C49:E50"/>
    <mergeCell ref="F49:U49"/>
    <mergeCell ref="V49:AA50"/>
    <mergeCell ref="AB49:AH50"/>
    <mergeCell ref="G50:J50"/>
    <mergeCell ref="C51:E51"/>
    <mergeCell ref="H51:I51"/>
    <mergeCell ref="P51:Q51"/>
    <mergeCell ref="X52:Y52"/>
    <mergeCell ref="P71:Q71"/>
    <mergeCell ref="V81:AH81"/>
    <mergeCell ref="U65:V65"/>
    <mergeCell ref="W65:X65"/>
    <mergeCell ref="Y65:Z65"/>
    <mergeCell ref="E74:AH74"/>
    <mergeCell ref="E79:M79"/>
    <mergeCell ref="C54:E54"/>
    <mergeCell ref="F54:K54"/>
    <mergeCell ref="L54:U54"/>
    <mergeCell ref="U64:V64"/>
    <mergeCell ref="V55:W55"/>
    <mergeCell ref="AB54:AH54"/>
    <mergeCell ref="C55:E55"/>
    <mergeCell ref="F55:K55"/>
    <mergeCell ref="L55:U55"/>
    <mergeCell ref="AB55:AH55"/>
    <mergeCell ref="X54:Y54"/>
    <mergeCell ref="U63:V63"/>
    <mergeCell ref="W63:X63"/>
    <mergeCell ref="Y63:Z63"/>
    <mergeCell ref="U61:Z61"/>
    <mergeCell ref="U62:Z62"/>
    <mergeCell ref="E67:L67"/>
    <mergeCell ref="C27:H27"/>
    <mergeCell ref="C31:H31"/>
    <mergeCell ref="O30:R30"/>
    <mergeCell ref="I27:N27"/>
    <mergeCell ref="I28:N28"/>
    <mergeCell ref="I29:N29"/>
    <mergeCell ref="I30:N30"/>
    <mergeCell ref="O28:R28"/>
    <mergeCell ref="C52:E52"/>
    <mergeCell ref="F52:K52"/>
    <mergeCell ref="L52:U52"/>
    <mergeCell ref="S28:T28"/>
    <mergeCell ref="U28:V28"/>
    <mergeCell ref="C64:H64"/>
    <mergeCell ref="I64:T64"/>
    <mergeCell ref="F53:K53"/>
    <mergeCell ref="L53:U53"/>
    <mergeCell ref="O31:R31"/>
    <mergeCell ref="C65:H65"/>
    <mergeCell ref="I65:T65"/>
    <mergeCell ref="C61:T61"/>
    <mergeCell ref="C62:T62"/>
    <mergeCell ref="I31:N31"/>
    <mergeCell ref="C63:H63"/>
    <mergeCell ref="I63:T63"/>
    <mergeCell ref="C53:E53"/>
  </mergeCells>
  <dataValidations disablePrompts="1" count="3">
    <dataValidation allowBlank="1" showInputMessage="1" showErrorMessage="1" error="Total share among nominees should be equal to 100" prompt="Total share among nominees should be equal to 100" sqref="Y28:Y31"/>
    <dataValidation type="list" allowBlank="1" showInputMessage="1" showErrorMessage="1" sqref="C63:H65">
      <formula1>$AM$2:$AM$9</formula1>
    </dataValidation>
    <dataValidation type="list" allowBlank="1" showInputMessage="1" showErrorMessage="1" sqref="I63:T65">
      <formula1>$AR$2:$AR$3</formula1>
    </dataValidation>
  </dataValidations>
  <pageMargins left="0" right="0" top="0" bottom="0" header="0" footer="0"/>
  <pageSetup paperSize="9" orientation="portrait" r:id="rId1"/>
  <rowBreaks count="1" manualBreakCount="1">
    <brk id="40" max="16383" man="1"/>
  </rowBreaks>
  <ignoredErrors>
    <ignoredError sqref="AP3:AP9" formula="1"/>
  </ignoredErrors>
  <drawing r:id="rId2"/>
</worksheet>
</file>

<file path=xl/worksheets/sheet4.xml><?xml version="1.0" encoding="utf-8"?>
<worksheet xmlns="http://schemas.openxmlformats.org/spreadsheetml/2006/main" xmlns:r="http://schemas.openxmlformats.org/officeDocument/2006/relationships">
  <sheetPr codeName="Sheet1"/>
  <dimension ref="A1:AZ168"/>
  <sheetViews>
    <sheetView showGridLines="0" showRowColHeaders="0" workbookViewId="0">
      <selection activeCell="I2" sqref="I2:AA2"/>
    </sheetView>
  </sheetViews>
  <sheetFormatPr defaultColWidth="0" defaultRowHeight="15" zeroHeight="1"/>
  <cols>
    <col min="1" max="1" width="3.7109375" style="162" customWidth="1"/>
    <col min="2" max="25" width="3.7109375" style="106" customWidth="1"/>
    <col min="26" max="26" width="3.140625" style="163" customWidth="1"/>
    <col min="27" max="27" width="4.28515625" style="106" customWidth="1"/>
    <col min="28" max="52" width="9.140625" style="106" hidden="1" customWidth="1"/>
    <col min="53" max="16384" width="0" style="106" hidden="1"/>
  </cols>
  <sheetData>
    <row r="1" spans="1:35" ht="23.25">
      <c r="O1" s="543" t="s">
        <v>805</v>
      </c>
      <c r="P1" s="543"/>
      <c r="Q1" s="543"/>
      <c r="R1" s="543"/>
      <c r="S1" s="543"/>
      <c r="T1" s="543"/>
      <c r="U1" s="543"/>
      <c r="V1" s="543"/>
      <c r="W1" s="543"/>
      <c r="X1" s="543"/>
      <c r="Y1" s="543"/>
      <c r="Z1" s="543"/>
      <c r="AA1" s="543"/>
    </row>
    <row r="2" spans="1:35" ht="12.75" customHeight="1">
      <c r="I2" s="544" t="s">
        <v>806</v>
      </c>
      <c r="J2" s="544"/>
      <c r="K2" s="544"/>
      <c r="L2" s="544"/>
      <c r="M2" s="544"/>
      <c r="N2" s="544"/>
      <c r="O2" s="544"/>
      <c r="P2" s="544"/>
      <c r="Q2" s="544"/>
      <c r="R2" s="544"/>
      <c r="S2" s="544"/>
      <c r="T2" s="544"/>
      <c r="U2" s="544"/>
      <c r="V2" s="544"/>
      <c r="W2" s="544"/>
      <c r="X2" s="544"/>
      <c r="Y2" s="544"/>
      <c r="Z2" s="544"/>
      <c r="AA2" s="544"/>
    </row>
    <row r="3" spans="1:35" ht="21">
      <c r="A3" s="545" t="s">
        <v>934</v>
      </c>
      <c r="B3" s="545"/>
      <c r="C3" s="545"/>
      <c r="D3" s="545"/>
      <c r="E3" s="545"/>
      <c r="F3" s="545"/>
      <c r="G3" s="545"/>
      <c r="H3" s="545"/>
      <c r="I3" s="545"/>
      <c r="J3" s="545"/>
      <c r="K3" s="545"/>
      <c r="L3" s="545"/>
      <c r="M3" s="545"/>
      <c r="N3" s="545"/>
      <c r="O3" s="545"/>
      <c r="P3" s="545"/>
      <c r="Q3" s="545"/>
      <c r="R3" s="545"/>
      <c r="S3" s="545"/>
      <c r="T3" s="545"/>
      <c r="U3" s="545"/>
      <c r="V3" s="545"/>
      <c r="W3" s="545"/>
      <c r="X3" s="545"/>
      <c r="Y3" s="545"/>
      <c r="Z3" s="545"/>
      <c r="AA3" s="545"/>
    </row>
    <row r="4" spans="1:35" ht="5.25" customHeight="1"/>
    <row r="5" spans="1:35" ht="18" customHeight="1">
      <c r="A5" s="546" t="s">
        <v>807</v>
      </c>
      <c r="B5" s="546"/>
      <c r="C5" s="546"/>
      <c r="D5" s="546"/>
      <c r="E5" s="546"/>
      <c r="F5" s="546"/>
      <c r="G5" s="546"/>
      <c r="H5" s="546"/>
      <c r="I5" s="546"/>
      <c r="J5" s="546"/>
      <c r="K5" s="546"/>
      <c r="L5" s="546"/>
      <c r="M5" s="546"/>
      <c r="N5" s="546"/>
      <c r="O5" s="546"/>
      <c r="P5" s="546"/>
      <c r="Q5" s="546"/>
      <c r="R5" s="546"/>
      <c r="S5" s="546"/>
      <c r="T5" s="546"/>
      <c r="U5" s="546"/>
      <c r="V5" s="546"/>
      <c r="W5" s="546"/>
      <c r="X5" s="546"/>
      <c r="Y5" s="546"/>
      <c r="Z5" s="546"/>
      <c r="AA5" s="546"/>
    </row>
    <row r="6" spans="1:35" ht="16.5" customHeight="1">
      <c r="A6" s="546" t="s">
        <v>808</v>
      </c>
      <c r="B6" s="546"/>
      <c r="C6" s="546"/>
      <c r="D6" s="546"/>
      <c r="E6" s="546"/>
      <c r="F6" s="546"/>
      <c r="G6" s="546"/>
      <c r="H6" s="546"/>
      <c r="I6" s="546"/>
      <c r="J6" s="546"/>
      <c r="K6" s="546"/>
      <c r="L6" s="546"/>
      <c r="M6" s="546"/>
      <c r="N6" s="546"/>
      <c r="O6" s="546"/>
      <c r="P6" s="546"/>
      <c r="Q6" s="546"/>
      <c r="R6" s="546"/>
      <c r="S6" s="546"/>
      <c r="T6" s="546"/>
      <c r="U6" s="546"/>
      <c r="V6" s="546"/>
      <c r="W6" s="546"/>
      <c r="X6" s="546"/>
      <c r="Y6" s="546"/>
      <c r="Z6" s="546"/>
      <c r="AA6" s="546"/>
    </row>
    <row r="7" spans="1:35" ht="6.75" customHeight="1"/>
    <row r="8" spans="1:35" ht="17.25" customHeight="1">
      <c r="A8" s="541" t="s">
        <v>932</v>
      </c>
      <c r="B8" s="541"/>
      <c r="C8" s="541"/>
      <c r="D8" s="541"/>
      <c r="E8" s="541"/>
      <c r="F8" s="541"/>
      <c r="G8" s="541"/>
      <c r="H8" s="541"/>
      <c r="I8" s="541"/>
      <c r="J8" s="541"/>
      <c r="K8" s="541"/>
      <c r="L8" s="541"/>
      <c r="M8" s="541"/>
      <c r="N8" s="541"/>
      <c r="O8" s="541"/>
      <c r="P8" s="541"/>
      <c r="Q8" s="541"/>
      <c r="R8" s="541"/>
      <c r="S8" s="541"/>
      <c r="T8" s="541"/>
      <c r="U8" s="541"/>
      <c r="V8" s="541"/>
      <c r="W8" s="541"/>
      <c r="X8" s="541"/>
      <c r="Y8" s="541"/>
      <c r="Z8" s="541"/>
      <c r="AA8" s="541"/>
    </row>
    <row r="9" spans="1:35" ht="18" customHeight="1">
      <c r="A9" s="541" t="s">
        <v>931</v>
      </c>
      <c r="B9" s="541"/>
      <c r="C9" s="541"/>
      <c r="D9" s="541"/>
      <c r="E9" s="541"/>
      <c r="F9" s="541"/>
      <c r="G9" s="541"/>
      <c r="H9" s="541"/>
      <c r="I9" s="541"/>
      <c r="J9" s="541"/>
      <c r="K9" s="541"/>
      <c r="L9" s="541"/>
      <c r="M9" s="541"/>
      <c r="N9" s="541"/>
      <c r="O9" s="541"/>
      <c r="P9" s="541"/>
      <c r="Q9" s="541"/>
      <c r="R9" s="541"/>
      <c r="S9" s="541"/>
      <c r="T9" s="541"/>
      <c r="U9" s="541"/>
      <c r="V9" s="541"/>
      <c r="W9" s="541"/>
      <c r="X9" s="541"/>
      <c r="Y9" s="541"/>
      <c r="Z9" s="541"/>
      <c r="AA9" s="541"/>
    </row>
    <row r="10" spans="1:35" ht="16.5" customHeight="1">
      <c r="A10" s="542" t="s">
        <v>809</v>
      </c>
      <c r="B10" s="542"/>
      <c r="C10" s="542"/>
      <c r="D10" s="542"/>
      <c r="E10" s="542"/>
      <c r="F10" s="542"/>
      <c r="G10" s="542"/>
      <c r="H10" s="542"/>
      <c r="I10" s="542"/>
      <c r="J10" s="542"/>
      <c r="K10" s="542"/>
      <c r="L10" s="542"/>
      <c r="M10" s="542"/>
      <c r="N10" s="542"/>
      <c r="O10" s="542"/>
      <c r="P10" s="542"/>
      <c r="Q10" s="542"/>
      <c r="R10" s="542"/>
      <c r="S10" s="542"/>
      <c r="T10" s="542"/>
      <c r="U10" s="542"/>
      <c r="V10" s="542"/>
      <c r="W10" s="542"/>
      <c r="X10" s="542"/>
      <c r="Y10" s="542"/>
      <c r="Z10" s="542"/>
      <c r="AA10" s="542"/>
      <c r="AD10" s="106" t="s">
        <v>977</v>
      </c>
      <c r="AE10" s="106" t="str">
        <f>'Employee Data Form'!K22</f>
        <v>SINGLE</v>
      </c>
      <c r="AH10" s="198" t="str">
        <f>'Employee Data Form'!P43</f>
        <v>FATHER</v>
      </c>
      <c r="AI10" s="198" t="str">
        <f>'Employee Data Form'!F43</f>
        <v>KOMMULA RAJAIAH</v>
      </c>
    </row>
    <row r="11" spans="1:35">
      <c r="AD11" s="106" t="s">
        <v>357</v>
      </c>
      <c r="AE11" s="106" t="str">
        <f>'Employee Data Form'!Z14</f>
        <v>MALE</v>
      </c>
      <c r="AH11" s="198" t="str">
        <f>'Employee Data Form'!P44</f>
        <v>MOTHER</v>
      </c>
      <c r="AI11" s="198" t="str">
        <f>'Employee Data Form'!F44</f>
        <v>KOMMUA SUGUNA</v>
      </c>
    </row>
    <row r="12" spans="1:35">
      <c r="A12" s="162">
        <v>1</v>
      </c>
      <c r="B12" s="514" t="s">
        <v>1</v>
      </c>
      <c r="C12" s="514"/>
      <c r="G12" s="499" t="s">
        <v>810</v>
      </c>
      <c r="H12" s="499"/>
      <c r="I12" s="499"/>
      <c r="J12" s="13"/>
      <c r="K12" s="470" t="str">
        <f>IF('Employee Data Form'!S9="","",'Employee Data Form'!S9)</f>
        <v>SRIKANTH</v>
      </c>
      <c r="L12" s="237"/>
      <c r="M12" s="237"/>
      <c r="N12" s="237"/>
      <c r="O12" s="237"/>
      <c r="P12" s="237"/>
      <c r="Q12" s="237"/>
      <c r="R12" s="237"/>
      <c r="S12" s="237"/>
      <c r="T12" s="237"/>
      <c r="U12" s="237"/>
      <c r="V12" s="471"/>
      <c r="AH12" s="198" t="str">
        <f>'Employee Data Form'!P45</f>
        <v>BROTHER</v>
      </c>
      <c r="AI12" s="198" t="str">
        <f>'Employee Data Form'!F45</f>
        <v>KOMMULA VINOD</v>
      </c>
    </row>
    <row r="13" spans="1:35">
      <c r="F13" s="13"/>
      <c r="G13" s="484" t="str">
        <f>AE13</f>
        <v>Mr</v>
      </c>
      <c r="H13" s="484"/>
      <c r="I13" s="484"/>
      <c r="J13" s="13"/>
      <c r="K13" s="470" t="str">
        <f>IF('Employee Data Form'!AA9="","",'Employee Data Form'!AA9)</f>
        <v/>
      </c>
      <c r="L13" s="237"/>
      <c r="M13" s="237"/>
      <c r="N13" s="237"/>
      <c r="O13" s="237"/>
      <c r="P13" s="237"/>
      <c r="Q13" s="237"/>
      <c r="R13" s="237"/>
      <c r="S13" s="237"/>
      <c r="T13" s="237"/>
      <c r="U13" s="237"/>
      <c r="V13" s="471"/>
      <c r="AD13" s="106" t="s">
        <v>810</v>
      </c>
      <c r="AE13" s="106" t="str">
        <f>IF(AE11="MALE","Mr",IF(AND(AE11="FEMALE",AE10="MARRIED"),"Mrs","Ms"))</f>
        <v>Mr</v>
      </c>
      <c r="AH13" s="198" t="str">
        <f>'Employee Data Form'!P46</f>
        <v>BROTHER</v>
      </c>
      <c r="AI13" s="198" t="str">
        <f>'Employee Data Form'!F46</f>
        <v>KOMMULA SHIVA</v>
      </c>
    </row>
    <row r="14" spans="1:35">
      <c r="D14" s="499"/>
      <c r="E14" s="499"/>
      <c r="F14" s="499"/>
      <c r="G14" s="499"/>
      <c r="H14" s="499"/>
      <c r="I14" s="499"/>
      <c r="J14" s="13"/>
      <c r="K14" s="470" t="str">
        <f>IF('Employee Data Form'!K9="","",'Employee Data Form'!K9)</f>
        <v>KOMMULA</v>
      </c>
      <c r="L14" s="237"/>
      <c r="M14" s="237"/>
      <c r="N14" s="237"/>
      <c r="O14" s="237"/>
      <c r="P14" s="237"/>
      <c r="Q14" s="237"/>
      <c r="R14" s="237"/>
      <c r="S14" s="237"/>
      <c r="T14" s="237"/>
      <c r="U14" s="237"/>
      <c r="V14" s="471"/>
      <c r="AH14" s="198">
        <f>'Employee Data Form'!P47</f>
        <v>0</v>
      </c>
      <c r="AI14" s="198">
        <f>'Employee Data Form'!F47</f>
        <v>0</v>
      </c>
    </row>
    <row r="15" spans="1:35" ht="22.5" customHeight="1">
      <c r="AD15" s="197" t="s">
        <v>1052</v>
      </c>
      <c r="AE15" s="106" t="str">
        <f>'Employee Data Form'!S12&amp;" " &amp;'Employee Data Form'!AA12&amp; " " &amp;'Employee Data Form'!K12</f>
        <v>RAJAIAH  KOMMULA</v>
      </c>
      <c r="AF15" s="106" t="s">
        <v>817</v>
      </c>
      <c r="AH15" s="198">
        <f>'Employee Data Form'!P48</f>
        <v>0</v>
      </c>
      <c r="AI15" s="198">
        <f>'Employee Data Form'!F48</f>
        <v>0</v>
      </c>
    </row>
    <row r="16" spans="1:35">
      <c r="A16" s="162">
        <v>2</v>
      </c>
      <c r="B16" s="514" t="s">
        <v>137</v>
      </c>
      <c r="C16" s="514"/>
      <c r="D16" s="514"/>
      <c r="E16" s="514"/>
      <c r="G16" s="164" t="s">
        <v>812</v>
      </c>
      <c r="H16" s="164" t="s">
        <v>812</v>
      </c>
      <c r="I16" s="164" t="s">
        <v>813</v>
      </c>
      <c r="J16" s="164" t="s">
        <v>813</v>
      </c>
      <c r="K16" s="164" t="s">
        <v>814</v>
      </c>
      <c r="L16" s="164" t="s">
        <v>814</v>
      </c>
      <c r="M16" s="164" t="s">
        <v>814</v>
      </c>
      <c r="N16" s="164" t="s">
        <v>814</v>
      </c>
      <c r="O16" s="162"/>
      <c r="AD16" s="106" t="s">
        <v>252</v>
      </c>
      <c r="AE16" s="106" t="e">
        <f>VLOOKUP(AD16,$AH$10:$AI$17,2,0)</f>
        <v>#N/A</v>
      </c>
      <c r="AF16" s="106" t="s">
        <v>818</v>
      </c>
      <c r="AH16" s="198">
        <f>'Employee Data Form'!P49</f>
        <v>0</v>
      </c>
      <c r="AI16" s="198">
        <f>'Employee Data Form'!F49</f>
        <v>0</v>
      </c>
    </row>
    <row r="17" spans="1:32">
      <c r="G17" s="537">
        <f>IF('Employee Data Form'!K14="","",'Employee Data Form'!K14)</f>
        <v>28</v>
      </c>
      <c r="H17" s="538"/>
      <c r="I17" s="539">
        <f>IF('Employee Data Form'!N14="","",MONTH(DATEVALUE('Employee Data Form'!N14&amp;"1")))</f>
        <v>7</v>
      </c>
      <c r="J17" s="540"/>
      <c r="K17" s="470">
        <f>IF('Employee Data Form'!Q14="","",'Employee Data Form'!Q14)</f>
        <v>1998</v>
      </c>
      <c r="L17" s="237"/>
      <c r="M17" s="237"/>
      <c r="N17" s="471"/>
      <c r="AD17" s="106" t="s">
        <v>1053</v>
      </c>
      <c r="AE17" s="106" t="str">
        <f>IF(AND(AE11="FEMALE",AE10="MARRIED"),AE16,AE15)</f>
        <v>RAJAIAH  KOMMULA</v>
      </c>
      <c r="AF17" s="106" t="str">
        <f>IFERROR((VLOOKUP(AE17,$AE$15:$AF$16,2,0)),"")</f>
        <v>Father</v>
      </c>
    </row>
    <row r="18" spans="1:32" ht="21.75" customHeight="1"/>
    <row r="19" spans="1:32">
      <c r="A19" s="162">
        <v>3</v>
      </c>
      <c r="B19" s="514" t="s">
        <v>815</v>
      </c>
      <c r="C19" s="514"/>
      <c r="D19" s="514"/>
      <c r="E19" s="514"/>
      <c r="F19" s="514"/>
      <c r="G19" s="514"/>
      <c r="I19" s="503" t="s">
        <v>811</v>
      </c>
      <c r="J19" s="504"/>
      <c r="K19" s="500" t="str">
        <f>IF(AE17="","",AE17)</f>
        <v>RAJAIAH  KOMMULA</v>
      </c>
      <c r="L19" s="501"/>
      <c r="M19" s="501"/>
      <c r="N19" s="501"/>
      <c r="O19" s="501"/>
      <c r="P19" s="501"/>
      <c r="Q19" s="501"/>
      <c r="R19" s="501"/>
      <c r="S19" s="501"/>
      <c r="T19" s="501"/>
      <c r="U19" s="501"/>
      <c r="V19" s="502"/>
    </row>
    <row r="20" spans="1:32">
      <c r="B20" s="514" t="s">
        <v>1</v>
      </c>
      <c r="C20" s="514"/>
      <c r="D20" s="514"/>
      <c r="E20" s="514"/>
      <c r="F20" s="514"/>
      <c r="G20" s="514"/>
      <c r="I20" s="503"/>
      <c r="J20" s="504"/>
      <c r="K20" s="269"/>
      <c r="L20" s="270"/>
      <c r="M20" s="270"/>
      <c r="N20" s="270"/>
      <c r="O20" s="270"/>
      <c r="P20" s="270"/>
      <c r="Q20" s="270"/>
      <c r="R20" s="270"/>
      <c r="S20" s="270"/>
      <c r="T20" s="270"/>
      <c r="U20" s="270"/>
      <c r="V20" s="271"/>
    </row>
    <row r="21" spans="1:32" ht="12.75" customHeight="1"/>
    <row r="22" spans="1:32">
      <c r="A22" s="162">
        <v>4</v>
      </c>
      <c r="B22" s="514" t="s">
        <v>816</v>
      </c>
      <c r="C22" s="514"/>
      <c r="D22" s="514"/>
      <c r="E22" s="514"/>
      <c r="F22" s="514"/>
      <c r="G22" s="514"/>
      <c r="H22" s="514"/>
      <c r="J22" s="517" t="s">
        <v>817</v>
      </c>
      <c r="K22" s="517"/>
      <c r="L22" s="517"/>
      <c r="M22" s="517" t="s">
        <v>818</v>
      </c>
      <c r="N22" s="517"/>
      <c r="O22" s="517"/>
    </row>
    <row r="23" spans="1:32">
      <c r="B23" s="514" t="s">
        <v>819</v>
      </c>
      <c r="C23" s="514"/>
      <c r="D23" s="514"/>
      <c r="E23" s="514"/>
      <c r="F23" s="514"/>
      <c r="G23" s="514"/>
      <c r="H23" s="514"/>
      <c r="J23" s="547" t="str">
        <f>+IF(J22=AF17,"ü","")</f>
        <v>ü</v>
      </c>
      <c r="K23" s="547"/>
      <c r="L23" s="547"/>
      <c r="M23" s="525" t="str">
        <f>+IF(M22=AF17,"ü","")</f>
        <v/>
      </c>
      <c r="N23" s="526"/>
      <c r="O23" s="527"/>
    </row>
    <row r="24" spans="1:32" ht="16.5" customHeight="1"/>
    <row r="25" spans="1:32">
      <c r="A25" s="162">
        <v>5</v>
      </c>
      <c r="B25" s="514" t="s">
        <v>6</v>
      </c>
      <c r="C25" s="514"/>
      <c r="D25" s="514"/>
      <c r="E25" s="514"/>
      <c r="G25" s="517" t="s">
        <v>820</v>
      </c>
      <c r="H25" s="517"/>
      <c r="I25" s="517"/>
      <c r="J25" s="517" t="s">
        <v>821</v>
      </c>
      <c r="K25" s="517"/>
      <c r="L25" s="517"/>
      <c r="M25" s="517" t="s">
        <v>1054</v>
      </c>
      <c r="N25" s="517"/>
      <c r="O25" s="517"/>
      <c r="P25" s="517"/>
      <c r="AD25" s="199" t="str">
        <f>+'Employee Data Form'!Z14</f>
        <v>MALE</v>
      </c>
    </row>
    <row r="26" spans="1:32">
      <c r="B26" s="514" t="s">
        <v>822</v>
      </c>
      <c r="C26" s="514"/>
      <c r="D26" s="514"/>
      <c r="E26" s="514"/>
      <c r="G26" s="548" t="str">
        <f>+IF(G25=AD25,"ü","")</f>
        <v>ü</v>
      </c>
      <c r="H26" s="548"/>
      <c r="I26" s="548"/>
      <c r="J26" s="548" t="str">
        <f>+IF(J25=AD25,"ü","")</f>
        <v/>
      </c>
      <c r="K26" s="548"/>
      <c r="L26" s="548"/>
      <c r="M26" s="549" t="str">
        <f>+IF(M25=AD25,"ü","")</f>
        <v/>
      </c>
      <c r="N26" s="550"/>
      <c r="O26" s="550"/>
      <c r="P26" s="551"/>
    </row>
    <row r="27" spans="1:32" ht="15" customHeight="1"/>
    <row r="28" spans="1:32">
      <c r="A28" s="162">
        <v>6</v>
      </c>
      <c r="B28" s="514" t="s">
        <v>22</v>
      </c>
      <c r="C28" s="514"/>
      <c r="D28" s="514"/>
      <c r="E28" s="514"/>
      <c r="F28" s="514"/>
      <c r="H28" s="470" t="str">
        <f>IF('Employee Data Form'!Z26="","",'Employee Data Form'!Z26)</f>
        <v>9550069116</v>
      </c>
      <c r="I28" s="237"/>
      <c r="J28" s="237"/>
      <c r="K28" s="237"/>
      <c r="L28" s="237"/>
      <c r="M28" s="237"/>
      <c r="N28" s="237"/>
      <c r="O28" s="237"/>
      <c r="P28" s="237"/>
      <c r="Q28" s="237"/>
      <c r="R28" s="237"/>
      <c r="S28" s="237"/>
      <c r="T28" s="237"/>
      <c r="U28" s="237"/>
      <c r="V28" s="471"/>
    </row>
    <row r="29" spans="1:32">
      <c r="B29" s="514" t="s">
        <v>823</v>
      </c>
      <c r="C29" s="514"/>
      <c r="D29" s="514"/>
      <c r="E29" s="514"/>
      <c r="F29" s="514"/>
    </row>
    <row r="30" spans="1:32" ht="17.25" customHeight="1"/>
    <row r="31" spans="1:32">
      <c r="A31" s="162">
        <v>7</v>
      </c>
      <c r="B31" s="514" t="s">
        <v>824</v>
      </c>
      <c r="C31" s="514"/>
      <c r="D31" s="514"/>
      <c r="E31" s="514"/>
      <c r="F31" s="514"/>
      <c r="H31" s="470" t="str">
        <f>IF('Employee Data Form'!K26="","",'Employee Data Form'!K26)</f>
        <v>sri.kommula98@gmail.com</v>
      </c>
      <c r="I31" s="237"/>
      <c r="J31" s="237"/>
      <c r="K31" s="237"/>
      <c r="L31" s="237"/>
      <c r="M31" s="237"/>
      <c r="N31" s="237"/>
      <c r="O31" s="237"/>
      <c r="P31" s="237"/>
      <c r="Q31" s="237"/>
      <c r="R31" s="237"/>
      <c r="S31" s="237"/>
      <c r="T31" s="237"/>
      <c r="U31" s="237"/>
      <c r="V31" s="471"/>
    </row>
    <row r="32" spans="1:32" ht="15.75" customHeight="1"/>
    <row r="33" spans="1:31">
      <c r="A33" s="162">
        <v>8</v>
      </c>
      <c r="B33" s="106" t="s">
        <v>825</v>
      </c>
    </row>
    <row r="34" spans="1:31">
      <c r="I34" s="13"/>
      <c r="J34" s="13"/>
      <c r="N34" s="40"/>
      <c r="O34" s="40"/>
      <c r="P34" s="485" t="s">
        <v>978</v>
      </c>
      <c r="Q34" s="485"/>
      <c r="R34" s="485"/>
      <c r="S34" s="470" t="str">
        <f>+IF('Employee Data Form'!AC181="","",('Employee Data Form'!AC181))</f>
        <v/>
      </c>
      <c r="T34" s="237"/>
      <c r="U34" s="471"/>
      <c r="V34" s="58" t="s">
        <v>983</v>
      </c>
    </row>
    <row r="35" spans="1:31" ht="11.25" customHeight="1"/>
    <row r="36" spans="1:31">
      <c r="A36" s="162">
        <v>9</v>
      </c>
      <c r="B36" s="106" t="s">
        <v>828</v>
      </c>
    </row>
    <row r="37" spans="1:31">
      <c r="I37" s="13"/>
      <c r="J37" s="13"/>
      <c r="N37" s="40"/>
      <c r="O37" s="40"/>
      <c r="P37" s="485" t="s">
        <v>978</v>
      </c>
      <c r="Q37" s="485"/>
      <c r="R37" s="485"/>
      <c r="S37" s="470" t="str">
        <f>IF('Employee Data Form'!AC183="","",'Employee Data Form'!AC183)</f>
        <v/>
      </c>
      <c r="T37" s="237"/>
      <c r="U37" s="471"/>
      <c r="V37" s="58" t="s">
        <v>983</v>
      </c>
    </row>
    <row r="38" spans="1:31" ht="6.75" customHeight="1"/>
    <row r="39" spans="1:31" ht="27.75" customHeight="1">
      <c r="B39" s="552" t="s">
        <v>829</v>
      </c>
      <c r="C39" s="552"/>
      <c r="D39" s="552"/>
      <c r="E39" s="552"/>
      <c r="F39" s="552"/>
      <c r="G39" s="552"/>
      <c r="H39" s="552"/>
      <c r="I39" s="552"/>
      <c r="J39" s="552"/>
      <c r="K39" s="552"/>
      <c r="L39" s="552"/>
      <c r="M39" s="552"/>
      <c r="N39" s="552"/>
      <c r="O39" s="552"/>
      <c r="P39" s="552"/>
      <c r="Q39" s="552"/>
      <c r="R39" s="552"/>
      <c r="S39" s="552"/>
      <c r="T39" s="552"/>
      <c r="U39" s="552"/>
      <c r="V39" s="552"/>
      <c r="W39" s="552"/>
      <c r="X39" s="552"/>
      <c r="Y39" s="552"/>
      <c r="Z39" s="165"/>
      <c r="AA39" s="165"/>
      <c r="AB39" s="165"/>
      <c r="AC39" s="165"/>
      <c r="AD39" s="165"/>
      <c r="AE39" s="165"/>
    </row>
    <row r="40" spans="1:31" ht="7.5" customHeight="1"/>
    <row r="41" spans="1:31">
      <c r="A41" s="64" t="s">
        <v>830</v>
      </c>
      <c r="B41" s="1" t="s">
        <v>831</v>
      </c>
    </row>
    <row r="42" spans="1:31">
      <c r="A42" s="162">
        <v>10</v>
      </c>
      <c r="B42" s="106" t="s">
        <v>832</v>
      </c>
    </row>
    <row r="43" spans="1:31">
      <c r="B43" s="514" t="s">
        <v>801</v>
      </c>
      <c r="C43" s="514"/>
      <c r="D43" s="515"/>
      <c r="E43" s="470" t="str">
        <f>+IF('Employee Data Form'!K20="","",'Employee Data Form'!K20)</f>
        <v/>
      </c>
      <c r="F43" s="237"/>
      <c r="G43" s="237"/>
      <c r="H43" s="237"/>
      <c r="I43" s="237"/>
      <c r="J43" s="237"/>
      <c r="K43" s="237"/>
      <c r="L43" s="237"/>
      <c r="M43" s="237"/>
      <c r="N43" s="237"/>
      <c r="O43" s="237"/>
      <c r="P43" s="237"/>
      <c r="Q43" s="237"/>
      <c r="R43" s="237"/>
      <c r="S43" s="237"/>
      <c r="T43" s="237"/>
      <c r="U43" s="471"/>
    </row>
    <row r="44" spans="1:31">
      <c r="B44" s="514" t="s">
        <v>833</v>
      </c>
      <c r="C44" s="514"/>
      <c r="D44" s="514"/>
    </row>
    <row r="45" spans="1:31">
      <c r="B45" s="514" t="s">
        <v>834</v>
      </c>
      <c r="C45" s="514"/>
      <c r="D45" s="514"/>
      <c r="E45" s="515"/>
      <c r="F45" s="517" t="s">
        <v>835</v>
      </c>
      <c r="G45" s="517"/>
      <c r="H45" s="517"/>
      <c r="I45" s="517"/>
      <c r="J45" s="517" t="s">
        <v>836</v>
      </c>
      <c r="K45" s="517"/>
      <c r="L45" s="517"/>
      <c r="M45" s="517"/>
      <c r="N45" s="166" t="s">
        <v>837</v>
      </c>
      <c r="O45" s="166"/>
      <c r="P45" s="166"/>
      <c r="Q45" s="166"/>
      <c r="R45" s="166"/>
      <c r="S45" s="517" t="s">
        <v>838</v>
      </c>
      <c r="T45" s="517"/>
      <c r="U45" s="517"/>
      <c r="V45" s="517" t="s">
        <v>168</v>
      </c>
      <c r="W45" s="517"/>
      <c r="X45" s="517"/>
      <c r="Y45" s="517"/>
    </row>
    <row r="46" spans="1:31">
      <c r="B46" s="531" t="s">
        <v>839</v>
      </c>
      <c r="C46" s="531"/>
      <c r="D46" s="531"/>
      <c r="E46" s="532"/>
      <c r="F46" s="470" t="str">
        <f>IF(+'Employee Data Form'!L185="","",'Employee Data Form'!L185)</f>
        <v/>
      </c>
      <c r="G46" s="237"/>
      <c r="H46" s="237"/>
      <c r="I46" s="237"/>
      <c r="J46" s="237"/>
      <c r="K46" s="237"/>
      <c r="L46" s="237"/>
      <c r="M46" s="237"/>
      <c r="N46" s="237"/>
      <c r="O46" s="237"/>
      <c r="P46" s="237"/>
      <c r="Q46" s="237"/>
      <c r="R46" s="237"/>
      <c r="S46" s="237"/>
      <c r="T46" s="237"/>
      <c r="U46" s="237"/>
      <c r="V46" s="237"/>
      <c r="W46" s="237"/>
      <c r="X46" s="237"/>
      <c r="Y46" s="471"/>
    </row>
    <row r="47" spans="1:31"/>
    <row r="48" spans="1:31">
      <c r="A48" s="162">
        <v>11</v>
      </c>
      <c r="B48" s="514" t="s">
        <v>840</v>
      </c>
      <c r="C48" s="514"/>
      <c r="D48" s="514"/>
      <c r="E48" s="514"/>
      <c r="F48" s="514"/>
      <c r="G48" s="484"/>
      <c r="H48" s="13"/>
      <c r="I48" s="164" t="s">
        <v>812</v>
      </c>
      <c r="J48" s="164" t="s">
        <v>812</v>
      </c>
      <c r="K48" s="164" t="s">
        <v>813</v>
      </c>
      <c r="L48" s="164" t="s">
        <v>813</v>
      </c>
      <c r="M48" s="164" t="s">
        <v>814</v>
      </c>
      <c r="N48" s="164" t="s">
        <v>814</v>
      </c>
      <c r="O48" s="164" t="s">
        <v>814</v>
      </c>
      <c r="P48" s="164" t="s">
        <v>814</v>
      </c>
    </row>
    <row r="49" spans="1:26">
      <c r="B49" s="514" t="s">
        <v>841</v>
      </c>
      <c r="C49" s="514"/>
      <c r="D49" s="514"/>
      <c r="E49" s="514"/>
      <c r="F49" s="514"/>
      <c r="G49" s="484"/>
      <c r="H49" s="13"/>
      <c r="I49" s="533" t="str">
        <f>IF('Employee Data Form'!L186="","",'Employee Data Form'!L186)</f>
        <v/>
      </c>
      <c r="J49" s="534"/>
      <c r="K49" s="534"/>
      <c r="L49" s="534"/>
      <c r="M49" s="534"/>
      <c r="N49" s="534"/>
      <c r="O49" s="534"/>
      <c r="P49" s="535"/>
    </row>
    <row r="50" spans="1:26"/>
    <row r="51" spans="1:26">
      <c r="A51" s="167">
        <v>12</v>
      </c>
      <c r="B51" s="106" t="s">
        <v>830</v>
      </c>
      <c r="C51" s="106" t="s">
        <v>842</v>
      </c>
    </row>
    <row r="52" spans="1:26">
      <c r="C52" s="106" t="s">
        <v>843</v>
      </c>
      <c r="K52" s="529" t="str">
        <f>IF('Employee Data Form'!AC185="","",'Employee Data Form'!AC185)</f>
        <v/>
      </c>
      <c r="L52" s="529"/>
      <c r="M52" s="529"/>
      <c r="N52" s="529"/>
      <c r="O52" s="529"/>
    </row>
    <row r="53" spans="1:26">
      <c r="B53" s="106" t="s">
        <v>844</v>
      </c>
      <c r="C53" s="106" t="s">
        <v>845</v>
      </c>
    </row>
    <row r="54" spans="1:26">
      <c r="C54" s="106" t="s">
        <v>846</v>
      </c>
      <c r="G54" s="529"/>
      <c r="H54" s="529"/>
      <c r="I54" s="529"/>
      <c r="J54" s="529"/>
      <c r="K54" s="529"/>
      <c r="L54" s="529"/>
    </row>
    <row r="55" spans="1:26" ht="7.5" customHeight="1"/>
    <row r="56" spans="1:26">
      <c r="N56" s="162"/>
    </row>
    <row r="57" spans="1:26" s="1" customFormat="1">
      <c r="A57" s="64"/>
      <c r="B57" s="168"/>
      <c r="C57" s="168"/>
      <c r="D57" s="168"/>
      <c r="E57" s="168"/>
      <c r="F57" s="168"/>
      <c r="G57" s="168"/>
      <c r="H57" s="168"/>
      <c r="I57" s="168"/>
      <c r="J57" s="168"/>
      <c r="K57" s="168"/>
      <c r="L57" s="168"/>
      <c r="M57" s="168"/>
      <c r="N57" s="162">
        <v>8</v>
      </c>
      <c r="O57" s="168"/>
      <c r="P57" s="168"/>
      <c r="Q57" s="168"/>
      <c r="R57" s="168"/>
      <c r="S57" s="168"/>
      <c r="T57" s="168"/>
      <c r="U57" s="168"/>
      <c r="V57" s="168"/>
      <c r="W57" s="168"/>
      <c r="X57" s="168"/>
      <c r="Y57" s="168"/>
      <c r="Z57" s="168"/>
    </row>
    <row r="58" spans="1:26" s="1" customFormat="1">
      <c r="A58" s="64"/>
      <c r="B58" s="168"/>
      <c r="C58" s="168"/>
      <c r="D58" s="168"/>
      <c r="E58" s="168"/>
      <c r="F58" s="168"/>
      <c r="G58" s="168"/>
      <c r="H58" s="168"/>
      <c r="I58" s="168"/>
      <c r="J58" s="168"/>
      <c r="K58" s="168"/>
      <c r="L58" s="168"/>
      <c r="M58" s="168"/>
      <c r="N58" s="168"/>
      <c r="O58" s="168"/>
      <c r="P58" s="168"/>
      <c r="Q58" s="168"/>
      <c r="R58" s="168"/>
      <c r="S58" s="168"/>
      <c r="T58" s="168"/>
      <c r="U58" s="168"/>
      <c r="V58" s="168"/>
      <c r="W58" s="168"/>
      <c r="X58" s="168"/>
      <c r="Y58" s="168"/>
      <c r="Z58" s="168"/>
    </row>
    <row r="59" spans="1:26" s="1" customFormat="1">
      <c r="A59" s="164" t="s">
        <v>844</v>
      </c>
      <c r="B59" s="536" t="s">
        <v>847</v>
      </c>
      <c r="C59" s="536"/>
      <c r="D59" s="536"/>
      <c r="E59" s="536"/>
      <c r="F59" s="536"/>
      <c r="G59" s="536"/>
      <c r="H59" s="536"/>
      <c r="I59" s="536"/>
      <c r="J59" s="536"/>
      <c r="K59" s="536"/>
      <c r="L59" s="536"/>
      <c r="M59" s="536"/>
      <c r="N59" s="536"/>
      <c r="O59" s="536"/>
      <c r="P59" s="536"/>
      <c r="Q59" s="536"/>
      <c r="R59" s="536"/>
      <c r="S59" s="536"/>
      <c r="T59" s="536"/>
      <c r="U59" s="536"/>
      <c r="V59" s="536"/>
      <c r="W59" s="536"/>
      <c r="X59" s="536"/>
      <c r="Y59" s="536"/>
      <c r="Z59" s="536"/>
    </row>
    <row r="60" spans="1:26" s="1" customFormat="1">
      <c r="A60" s="54"/>
      <c r="B60" s="169"/>
      <c r="C60" s="169"/>
      <c r="D60" s="169"/>
      <c r="E60" s="169"/>
      <c r="F60" s="169"/>
      <c r="G60" s="169"/>
      <c r="H60" s="169"/>
      <c r="I60" s="169"/>
      <c r="J60" s="169"/>
      <c r="K60" s="169"/>
      <c r="L60" s="169"/>
      <c r="M60" s="169"/>
      <c r="N60" s="169"/>
      <c r="O60" s="169"/>
      <c r="P60" s="169"/>
      <c r="Q60" s="169"/>
      <c r="R60" s="169"/>
      <c r="S60" s="169"/>
      <c r="T60" s="169"/>
      <c r="U60" s="169"/>
      <c r="V60" s="169"/>
      <c r="W60" s="169"/>
      <c r="X60" s="169"/>
      <c r="Y60" s="169"/>
      <c r="Z60" s="169"/>
    </row>
    <row r="61" spans="1:26">
      <c r="A61" s="162">
        <v>13</v>
      </c>
      <c r="B61" s="514" t="s">
        <v>848</v>
      </c>
      <c r="C61" s="514"/>
      <c r="D61" s="514"/>
      <c r="E61" s="514"/>
      <c r="F61" s="514"/>
      <c r="G61" s="515"/>
      <c r="H61" s="517" t="s">
        <v>826</v>
      </c>
      <c r="I61" s="517"/>
      <c r="J61" s="517"/>
      <c r="K61" s="517" t="s">
        <v>827</v>
      </c>
      <c r="L61" s="517"/>
      <c r="M61" s="517"/>
    </row>
    <row r="62" spans="1:26">
      <c r="B62" s="499" t="s">
        <v>822</v>
      </c>
      <c r="C62" s="499"/>
      <c r="D62" s="499"/>
      <c r="E62" s="499"/>
      <c r="F62" s="499"/>
      <c r="G62" s="530"/>
      <c r="H62" s="475"/>
      <c r="I62" s="475"/>
      <c r="J62" s="475"/>
      <c r="K62" s="525" t="s">
        <v>979</v>
      </c>
      <c r="L62" s="526"/>
      <c r="M62" s="527"/>
    </row>
    <row r="63" spans="1:26" ht="19.5" customHeight="1"/>
    <row r="64" spans="1:26">
      <c r="B64" s="1" t="s">
        <v>849</v>
      </c>
    </row>
    <row r="65" spans="1:35" ht="21" customHeight="1">
      <c r="B65" s="1"/>
    </row>
    <row r="66" spans="1:35">
      <c r="A66" s="162">
        <v>13</v>
      </c>
      <c r="B66" s="170" t="s">
        <v>830</v>
      </c>
      <c r="C66" s="106" t="s">
        <v>850</v>
      </c>
    </row>
    <row r="67" spans="1:35">
      <c r="B67" s="108"/>
    </row>
    <row r="68" spans="1:35">
      <c r="D68" s="48"/>
      <c r="E68" s="48"/>
      <c r="F68" s="48"/>
      <c r="G68" s="519" t="s">
        <v>851</v>
      </c>
      <c r="H68" s="519"/>
      <c r="I68" s="440"/>
      <c r="J68" s="520" t="s">
        <v>852</v>
      </c>
      <c r="K68" s="238"/>
      <c r="L68" s="238"/>
      <c r="M68" s="238"/>
      <c r="N68" s="238"/>
      <c r="O68" s="238"/>
      <c r="P68" s="238"/>
      <c r="Q68" s="238"/>
      <c r="R68" s="238"/>
      <c r="S68" s="238"/>
      <c r="T68" s="238"/>
      <c r="U68" s="521"/>
    </row>
    <row r="69" spans="1:35">
      <c r="D69" s="48"/>
      <c r="E69" s="48"/>
      <c r="F69" s="48"/>
      <c r="G69" s="519"/>
      <c r="H69" s="519"/>
      <c r="I69" s="440"/>
      <c r="J69" s="522" t="s">
        <v>853</v>
      </c>
      <c r="K69" s="523"/>
      <c r="L69" s="523"/>
      <c r="M69" s="523"/>
      <c r="N69" s="523"/>
      <c r="O69" s="523"/>
      <c r="P69" s="523"/>
      <c r="Q69" s="523"/>
      <c r="R69" s="523"/>
      <c r="S69" s="523"/>
      <c r="T69" s="523"/>
      <c r="U69" s="524"/>
    </row>
    <row r="70" spans="1:35">
      <c r="D70" s="93"/>
      <c r="E70" s="93"/>
      <c r="F70" s="93"/>
      <c r="G70" s="525" t="s">
        <v>979</v>
      </c>
      <c r="H70" s="526"/>
      <c r="I70" s="527"/>
      <c r="J70" s="528"/>
      <c r="K70" s="528"/>
      <c r="L70" s="528"/>
      <c r="M70" s="528"/>
      <c r="N70" s="528"/>
      <c r="O70" s="528"/>
      <c r="P70" s="528"/>
      <c r="Q70" s="528"/>
      <c r="R70" s="528"/>
      <c r="S70" s="528"/>
      <c r="T70" s="528"/>
      <c r="U70" s="528"/>
    </row>
    <row r="71" spans="1:35">
      <c r="D71" s="93"/>
      <c r="E71" s="93"/>
      <c r="F71" s="93"/>
      <c r="G71" s="171"/>
      <c r="H71" s="171"/>
      <c r="I71" s="171"/>
      <c r="J71" s="171"/>
      <c r="K71" s="171"/>
      <c r="L71" s="171"/>
      <c r="M71" s="171"/>
      <c r="N71" s="171"/>
      <c r="O71" s="171"/>
      <c r="P71" s="171"/>
      <c r="Q71" s="171"/>
      <c r="R71" s="171"/>
      <c r="S71" s="171"/>
      <c r="T71" s="171"/>
      <c r="U71" s="171"/>
    </row>
    <row r="72" spans="1:35" ht="15.75" customHeight="1"/>
    <row r="73" spans="1:35">
      <c r="A73" s="162">
        <v>13</v>
      </c>
      <c r="B73" s="1" t="s">
        <v>844</v>
      </c>
      <c r="C73" s="106" t="s">
        <v>854</v>
      </c>
      <c r="I73" s="529" t="str">
        <f>IF('Employee Data Form'!Z18="","",'Employee Data Form'!Z18)</f>
        <v/>
      </c>
      <c r="J73" s="529"/>
      <c r="K73" s="529"/>
      <c r="L73" s="529"/>
      <c r="M73" s="529"/>
      <c r="N73" s="529"/>
      <c r="O73" s="529"/>
      <c r="P73" s="529"/>
      <c r="Q73" s="529"/>
      <c r="R73" s="529"/>
      <c r="S73" s="529"/>
      <c r="T73" s="529"/>
      <c r="U73" s="529"/>
    </row>
    <row r="74" spans="1:35" ht="18.75" customHeight="1"/>
    <row r="75" spans="1:35">
      <c r="A75" s="162">
        <v>13</v>
      </c>
      <c r="B75" s="1" t="s">
        <v>855</v>
      </c>
      <c r="C75" s="108" t="s">
        <v>933</v>
      </c>
      <c r="E75" s="108"/>
      <c r="F75" s="108"/>
      <c r="G75" s="108"/>
      <c r="H75" s="108"/>
      <c r="I75" s="164" t="s">
        <v>812</v>
      </c>
      <c r="J75" s="164" t="s">
        <v>812</v>
      </c>
      <c r="K75" s="164" t="s">
        <v>813</v>
      </c>
      <c r="L75" s="164" t="s">
        <v>813</v>
      </c>
      <c r="M75" s="164" t="s">
        <v>814</v>
      </c>
      <c r="N75" s="164" t="s">
        <v>814</v>
      </c>
      <c r="O75" s="164" t="s">
        <v>814</v>
      </c>
      <c r="P75" s="164" t="s">
        <v>814</v>
      </c>
      <c r="W75" s="163"/>
    </row>
    <row r="76" spans="1:35">
      <c r="I76" s="440"/>
      <c r="J76" s="442"/>
      <c r="K76" s="440"/>
      <c r="L76" s="442"/>
      <c r="M76" s="440"/>
      <c r="N76" s="441"/>
      <c r="O76" s="441"/>
      <c r="P76" s="442"/>
      <c r="W76" s="163"/>
    </row>
    <row r="77" spans="1:35" s="13" customFormat="1">
      <c r="A77" s="172"/>
      <c r="W77" s="173"/>
      <c r="Z77" s="173"/>
    </row>
    <row r="78" spans="1:35">
      <c r="G78" s="174" t="s">
        <v>15</v>
      </c>
      <c r="I78" s="164" t="s">
        <v>812</v>
      </c>
      <c r="J78" s="164" t="s">
        <v>812</v>
      </c>
      <c r="K78" s="164" t="s">
        <v>813</v>
      </c>
      <c r="L78" s="164" t="s">
        <v>813</v>
      </c>
      <c r="M78" s="164" t="s">
        <v>814</v>
      </c>
      <c r="N78" s="164" t="s">
        <v>814</v>
      </c>
      <c r="O78" s="164" t="s">
        <v>814</v>
      </c>
      <c r="P78" s="164" t="s">
        <v>814</v>
      </c>
      <c r="W78" s="163"/>
    </row>
    <row r="79" spans="1:35">
      <c r="I79" s="440"/>
      <c r="J79" s="442"/>
      <c r="K79" s="440"/>
      <c r="L79" s="442"/>
      <c r="M79" s="440"/>
      <c r="N79" s="441"/>
      <c r="O79" s="441"/>
      <c r="P79" s="442"/>
      <c r="W79" s="163"/>
    </row>
    <row r="80" spans="1:35" ht="19.5" customHeight="1">
      <c r="AC80" s="13"/>
      <c r="AD80" s="13"/>
      <c r="AE80" s="13"/>
      <c r="AF80" s="13"/>
      <c r="AG80" s="13"/>
      <c r="AH80" s="13"/>
      <c r="AI80" s="13"/>
    </row>
    <row r="81" spans="1:35" ht="15" customHeight="1">
      <c r="A81" s="162">
        <v>14</v>
      </c>
      <c r="C81" s="518" t="s">
        <v>856</v>
      </c>
      <c r="D81" s="518"/>
      <c r="E81" s="518"/>
      <c r="F81" s="518"/>
      <c r="G81" s="479" t="s">
        <v>857</v>
      </c>
      <c r="H81" s="480"/>
      <c r="I81" s="481"/>
      <c r="J81" s="517" t="s">
        <v>858</v>
      </c>
      <c r="K81" s="517"/>
      <c r="L81" s="517"/>
      <c r="M81" s="517"/>
      <c r="N81" s="479" t="s">
        <v>859</v>
      </c>
      <c r="O81" s="480"/>
      <c r="P81" s="481"/>
      <c r="Q81" s="479" t="s">
        <v>860</v>
      </c>
      <c r="R81" s="480"/>
      <c r="S81" s="480"/>
      <c r="T81" s="480"/>
      <c r="U81" s="481"/>
      <c r="W81" s="488" t="str">
        <f>IF('Employee Data Form'!H54="","",'Employee Data Form'!H54)</f>
        <v xml:space="preserve">DEGREE 
 </v>
      </c>
      <c r="X81" s="489"/>
      <c r="Y81" s="489"/>
      <c r="Z81" s="490"/>
      <c r="AD81" s="40"/>
      <c r="AE81" s="40"/>
      <c r="AF81" s="13"/>
      <c r="AG81" s="13"/>
      <c r="AH81" s="13"/>
      <c r="AI81" s="13"/>
    </row>
    <row r="82" spans="1:35">
      <c r="C82" s="518" t="s">
        <v>863</v>
      </c>
      <c r="D82" s="518"/>
      <c r="E82" s="518"/>
      <c r="F82" s="518"/>
      <c r="G82" s="470"/>
      <c r="H82" s="237"/>
      <c r="I82" s="471"/>
      <c r="J82" s="475"/>
      <c r="K82" s="475"/>
      <c r="L82" s="475"/>
      <c r="M82" s="475"/>
      <c r="N82" s="470"/>
      <c r="O82" s="237"/>
      <c r="P82" s="471"/>
      <c r="Q82" s="470"/>
      <c r="R82" s="237"/>
      <c r="S82" s="237"/>
      <c r="T82" s="237"/>
      <c r="U82" s="471"/>
      <c r="W82" s="491"/>
      <c r="X82" s="492"/>
      <c r="Y82" s="492"/>
      <c r="Z82" s="493"/>
      <c r="AD82" s="40"/>
      <c r="AE82" s="40"/>
      <c r="AF82" s="13"/>
      <c r="AG82" s="13"/>
      <c r="AH82" s="13"/>
      <c r="AI82" s="13"/>
    </row>
    <row r="83" spans="1:35">
      <c r="G83" s="472" t="s">
        <v>861</v>
      </c>
      <c r="H83" s="473"/>
      <c r="I83" s="487"/>
      <c r="J83" s="472" t="s">
        <v>862</v>
      </c>
      <c r="K83" s="473"/>
      <c r="L83" s="473"/>
      <c r="M83" s="487"/>
      <c r="N83" s="472" t="s">
        <v>864</v>
      </c>
      <c r="O83" s="473"/>
      <c r="P83" s="473"/>
      <c r="Q83" s="474" t="s">
        <v>865</v>
      </c>
      <c r="R83" s="474"/>
      <c r="S83" s="474"/>
      <c r="T83" s="474"/>
      <c r="U83" s="474"/>
      <c r="W83" s="58" t="s">
        <v>982</v>
      </c>
      <c r="AA83" s="171"/>
      <c r="AC83" s="175" t="s">
        <v>859</v>
      </c>
      <c r="AD83" s="40"/>
      <c r="AE83" s="40"/>
      <c r="AF83" s="13"/>
      <c r="AG83" s="13"/>
      <c r="AH83" s="13"/>
      <c r="AI83" s="13"/>
    </row>
    <row r="84" spans="1:35">
      <c r="G84" s="440"/>
      <c r="H84" s="441"/>
      <c r="I84" s="442"/>
      <c r="J84" s="440"/>
      <c r="K84" s="441"/>
      <c r="L84" s="441"/>
      <c r="M84" s="442"/>
      <c r="N84" s="440"/>
      <c r="O84" s="441"/>
      <c r="P84" s="441"/>
      <c r="Q84" s="475"/>
      <c r="R84" s="475"/>
      <c r="S84" s="475"/>
      <c r="T84" s="475"/>
      <c r="U84" s="475"/>
      <c r="W84" s="6"/>
      <c r="AA84" s="13"/>
      <c r="AC84" s="175" t="s">
        <v>860</v>
      </c>
      <c r="AD84" s="40"/>
      <c r="AE84" s="40"/>
      <c r="AF84" s="40"/>
      <c r="AG84" s="40"/>
      <c r="AH84" s="13"/>
      <c r="AI84" s="13"/>
    </row>
    <row r="85" spans="1:35">
      <c r="G85" s="172"/>
      <c r="H85" s="172"/>
      <c r="I85" s="172"/>
      <c r="J85" s="172"/>
      <c r="K85" s="171"/>
      <c r="L85" s="171"/>
      <c r="M85" s="171"/>
      <c r="N85" s="171"/>
      <c r="O85" s="171"/>
      <c r="P85" s="171"/>
      <c r="Q85" s="171"/>
      <c r="R85" s="171"/>
      <c r="S85" s="171"/>
      <c r="T85" s="171"/>
      <c r="U85" s="13"/>
      <c r="W85" s="13"/>
      <c r="X85" s="13"/>
      <c r="Y85" s="173"/>
      <c r="Z85" s="13"/>
      <c r="AA85" s="13"/>
      <c r="AC85" s="176" t="s">
        <v>861</v>
      </c>
      <c r="AD85" s="44"/>
      <c r="AE85" s="44"/>
      <c r="AF85" s="13"/>
      <c r="AG85" s="13"/>
      <c r="AH85" s="13"/>
      <c r="AI85" s="13"/>
    </row>
    <row r="86" spans="1:35" ht="15.75" customHeight="1">
      <c r="AC86" s="176" t="s">
        <v>862</v>
      </c>
      <c r="AD86" s="44"/>
      <c r="AE86" s="44"/>
      <c r="AF86" s="44"/>
      <c r="AG86" s="13"/>
      <c r="AH86" s="13"/>
      <c r="AI86" s="13"/>
    </row>
    <row r="87" spans="1:35">
      <c r="A87" s="162">
        <v>15</v>
      </c>
      <c r="C87" s="514" t="s">
        <v>10</v>
      </c>
      <c r="D87" s="514"/>
      <c r="E87" s="514"/>
      <c r="F87" s="514"/>
      <c r="G87" s="514"/>
      <c r="H87" s="517" t="s">
        <v>866</v>
      </c>
      <c r="I87" s="517"/>
      <c r="J87" s="517"/>
      <c r="K87" s="517" t="s">
        <v>867</v>
      </c>
      <c r="L87" s="517"/>
      <c r="M87" s="517"/>
      <c r="N87" s="517"/>
      <c r="O87" s="476" t="s">
        <v>868</v>
      </c>
      <c r="P87" s="477"/>
      <c r="Q87" s="477"/>
      <c r="R87" s="478"/>
      <c r="S87" s="479" t="s">
        <v>869</v>
      </c>
      <c r="T87" s="480"/>
      <c r="U87" s="481"/>
      <c r="W87" s="470" t="str">
        <f>IF('Employee Data Form'!K22="","",'Employee Data Form'!K22)</f>
        <v>SINGLE</v>
      </c>
      <c r="X87" s="237"/>
      <c r="Y87" s="237"/>
      <c r="Z87" s="471"/>
      <c r="AC87" s="176" t="s">
        <v>864</v>
      </c>
      <c r="AD87" s="44"/>
      <c r="AE87" s="44"/>
      <c r="AF87" s="44"/>
      <c r="AG87" s="13"/>
      <c r="AH87" s="13"/>
      <c r="AI87" s="13"/>
    </row>
    <row r="88" spans="1:35">
      <c r="H88" s="475"/>
      <c r="I88" s="475"/>
      <c r="J88" s="475"/>
      <c r="K88" s="475"/>
      <c r="L88" s="475"/>
      <c r="M88" s="475"/>
      <c r="N88" s="475"/>
      <c r="O88" s="470"/>
      <c r="P88" s="237"/>
      <c r="Q88" s="237"/>
      <c r="R88" s="471"/>
      <c r="S88" s="470"/>
      <c r="T88" s="237"/>
      <c r="U88" s="471"/>
      <c r="AC88" s="175" t="s">
        <v>981</v>
      </c>
      <c r="AD88" s="40"/>
      <c r="AE88" s="40"/>
      <c r="AF88" s="40"/>
      <c r="AG88" s="40"/>
      <c r="AH88" s="40"/>
      <c r="AI88" s="13"/>
    </row>
    <row r="89" spans="1:35" ht="19.5" customHeight="1">
      <c r="AC89" s="13"/>
      <c r="AD89" s="13"/>
      <c r="AE89" s="13"/>
      <c r="AF89" s="13"/>
      <c r="AG89" s="13"/>
      <c r="AH89" s="13"/>
      <c r="AI89" s="13"/>
    </row>
    <row r="90" spans="1:35">
      <c r="A90" s="162">
        <v>16</v>
      </c>
      <c r="C90" s="514" t="s">
        <v>870</v>
      </c>
      <c r="D90" s="514"/>
      <c r="E90" s="514"/>
      <c r="F90" s="514"/>
      <c r="G90" s="514"/>
      <c r="H90" s="517" t="s">
        <v>826</v>
      </c>
      <c r="I90" s="517"/>
      <c r="J90" s="517" t="s">
        <v>827</v>
      </c>
      <c r="K90" s="517"/>
      <c r="M90" s="517" t="s">
        <v>871</v>
      </c>
      <c r="N90" s="517"/>
      <c r="O90" s="517"/>
      <c r="P90" s="517"/>
      <c r="Q90" s="517"/>
      <c r="R90" s="517"/>
      <c r="S90" s="517"/>
      <c r="T90" s="517"/>
      <c r="U90" s="517"/>
      <c r="AC90" s="13"/>
      <c r="AD90" s="13"/>
      <c r="AE90" s="13"/>
      <c r="AF90" s="13"/>
      <c r="AG90" s="13"/>
      <c r="AH90" s="13"/>
      <c r="AI90" s="13"/>
    </row>
    <row r="91" spans="1:35">
      <c r="C91" s="499" t="s">
        <v>822</v>
      </c>
      <c r="D91" s="499"/>
      <c r="E91" s="499"/>
      <c r="F91" s="499"/>
      <c r="G91" s="499"/>
      <c r="H91" s="475"/>
      <c r="I91" s="475"/>
      <c r="J91" s="475"/>
      <c r="K91" s="475"/>
      <c r="M91" s="517" t="s">
        <v>872</v>
      </c>
      <c r="N91" s="517"/>
      <c r="O91" s="517"/>
      <c r="P91" s="517"/>
      <c r="Q91" s="517" t="s">
        <v>873</v>
      </c>
      <c r="R91" s="517"/>
      <c r="S91" s="517" t="s">
        <v>874</v>
      </c>
      <c r="T91" s="517"/>
      <c r="U91" s="517"/>
      <c r="AC91" s="13"/>
      <c r="AD91" s="13"/>
      <c r="AE91" s="13"/>
      <c r="AF91" s="13"/>
      <c r="AG91" s="13"/>
      <c r="AH91" s="13"/>
      <c r="AI91" s="13"/>
    </row>
    <row r="92" spans="1:35">
      <c r="M92" s="475"/>
      <c r="N92" s="475"/>
      <c r="O92" s="475"/>
      <c r="P92" s="475"/>
      <c r="Q92" s="475"/>
      <c r="R92" s="475"/>
      <c r="S92" s="475"/>
      <c r="T92" s="475"/>
      <c r="U92" s="475"/>
    </row>
    <row r="93" spans="1:35">
      <c r="M93" s="171"/>
      <c r="N93" s="171"/>
      <c r="O93" s="171"/>
      <c r="P93" s="171"/>
      <c r="Q93" s="171"/>
      <c r="R93" s="171"/>
      <c r="S93" s="171"/>
      <c r="T93" s="171"/>
      <c r="U93" s="171"/>
    </row>
    <row r="94" spans="1:35" ht="20.25" customHeight="1"/>
    <row r="95" spans="1:35" ht="26.25" customHeight="1">
      <c r="A95" s="162">
        <v>17</v>
      </c>
      <c r="B95" s="514" t="s">
        <v>875</v>
      </c>
      <c r="C95" s="514"/>
      <c r="D95" s="514"/>
      <c r="E95" s="515"/>
      <c r="F95" s="472" t="s">
        <v>876</v>
      </c>
      <c r="G95" s="473"/>
      <c r="H95" s="473"/>
      <c r="I95" s="473"/>
      <c r="J95" s="473"/>
      <c r="K95" s="473"/>
      <c r="L95" s="473"/>
      <c r="M95" s="516" t="s">
        <v>877</v>
      </c>
      <c r="N95" s="516"/>
      <c r="O95" s="516"/>
      <c r="P95" s="516"/>
      <c r="Q95" s="516"/>
      <c r="R95" s="516"/>
      <c r="S95" s="516"/>
      <c r="T95" s="512" t="s">
        <v>878</v>
      </c>
      <c r="U95" s="512"/>
      <c r="V95" s="512"/>
      <c r="W95" s="512" t="s">
        <v>879</v>
      </c>
      <c r="X95" s="512"/>
      <c r="Y95" s="512"/>
      <c r="Z95" s="512"/>
    </row>
    <row r="96" spans="1:35">
      <c r="F96" s="495" t="s">
        <v>880</v>
      </c>
      <c r="G96" s="496"/>
      <c r="H96" s="496"/>
      <c r="I96" s="496"/>
      <c r="J96" s="496"/>
      <c r="K96" s="496"/>
      <c r="L96" s="496"/>
      <c r="M96" s="475"/>
      <c r="N96" s="475"/>
      <c r="O96" s="475"/>
      <c r="P96" s="475"/>
      <c r="Q96" s="475"/>
      <c r="R96" s="475"/>
      <c r="S96" s="475"/>
      <c r="T96" s="400"/>
      <c r="U96" s="401"/>
      <c r="V96" s="402"/>
      <c r="W96" s="475"/>
      <c r="X96" s="475"/>
      <c r="Y96" s="475"/>
      <c r="Z96" s="475"/>
    </row>
    <row r="97" spans="6:27">
      <c r="F97" s="495" t="s">
        <v>881</v>
      </c>
      <c r="G97" s="496"/>
      <c r="H97" s="496"/>
      <c r="I97" s="496"/>
      <c r="J97" s="496"/>
      <c r="K97" s="496"/>
      <c r="L97" s="496"/>
      <c r="M97" s="513"/>
      <c r="N97" s="513"/>
      <c r="O97" s="513"/>
      <c r="P97" s="513"/>
      <c r="Q97" s="513"/>
      <c r="R97" s="513"/>
      <c r="S97" s="513"/>
      <c r="T97" s="495" t="str">
        <f>IF('Employee Data Form'!Z20="","",'Employee Data Form'!Z20)</f>
        <v>450540363355</v>
      </c>
      <c r="U97" s="496"/>
      <c r="V97" s="496"/>
      <c r="W97" s="496"/>
      <c r="X97" s="496"/>
      <c r="Y97" s="496"/>
      <c r="Z97" s="511"/>
    </row>
    <row r="98" spans="6:27" ht="27.75" customHeight="1">
      <c r="F98" s="497" t="s">
        <v>882</v>
      </c>
      <c r="G98" s="498"/>
      <c r="H98" s="498"/>
      <c r="I98" s="498"/>
      <c r="J98" s="498"/>
      <c r="K98" s="498"/>
      <c r="L98" s="498"/>
      <c r="M98" s="475"/>
      <c r="N98" s="475"/>
      <c r="O98" s="475"/>
      <c r="P98" s="475"/>
      <c r="Q98" s="475"/>
      <c r="R98" s="475"/>
      <c r="S98" s="475"/>
      <c r="T98" s="495" t="str">
        <f>IF('Employee Data Form'!K18="","",'Employee Data Form'!K18)</f>
        <v>MIJPS7369P</v>
      </c>
      <c r="U98" s="496"/>
      <c r="V98" s="496"/>
      <c r="W98" s="496"/>
      <c r="X98" s="496"/>
      <c r="Y98" s="496"/>
      <c r="Z98" s="511"/>
    </row>
    <row r="99" spans="6:27">
      <c r="F99" s="495" t="s">
        <v>883</v>
      </c>
      <c r="G99" s="496"/>
      <c r="H99" s="496"/>
      <c r="I99" s="496"/>
      <c r="J99" s="496"/>
      <c r="K99" s="496"/>
      <c r="L99" s="496"/>
      <c r="M99" s="475"/>
      <c r="N99" s="475"/>
      <c r="O99" s="475"/>
      <c r="P99" s="475"/>
      <c r="Q99" s="475"/>
      <c r="R99" s="475"/>
      <c r="S99" s="475"/>
      <c r="T99" s="400"/>
      <c r="U99" s="401"/>
      <c r="V99" s="402"/>
      <c r="W99" s="475"/>
      <c r="X99" s="475"/>
      <c r="Y99" s="475"/>
      <c r="Z99" s="475"/>
    </row>
    <row r="100" spans="6:27">
      <c r="F100" s="495" t="s">
        <v>884</v>
      </c>
      <c r="G100" s="496"/>
      <c r="H100" s="496"/>
      <c r="I100" s="496"/>
      <c r="J100" s="496"/>
      <c r="K100" s="496"/>
      <c r="L100" s="496"/>
      <c r="M100" s="475"/>
      <c r="N100" s="475"/>
      <c r="O100" s="475"/>
      <c r="P100" s="475"/>
      <c r="Q100" s="475"/>
      <c r="R100" s="475"/>
      <c r="S100" s="475"/>
      <c r="T100" s="400"/>
      <c r="U100" s="401"/>
      <c r="V100" s="402"/>
      <c r="W100" s="475"/>
      <c r="X100" s="475"/>
      <c r="Y100" s="475"/>
      <c r="Z100" s="475"/>
    </row>
    <row r="101" spans="6:27">
      <c r="F101" s="495" t="s">
        <v>885</v>
      </c>
      <c r="G101" s="496"/>
      <c r="H101" s="496"/>
      <c r="I101" s="496"/>
      <c r="J101" s="496"/>
      <c r="K101" s="496"/>
      <c r="L101" s="496"/>
      <c r="M101" s="475"/>
      <c r="N101" s="475"/>
      <c r="O101" s="475"/>
      <c r="P101" s="475"/>
      <c r="Q101" s="475"/>
      <c r="R101" s="475"/>
      <c r="S101" s="475"/>
      <c r="T101" s="400"/>
      <c r="U101" s="401"/>
      <c r="V101" s="402"/>
      <c r="W101" s="475"/>
      <c r="X101" s="475"/>
      <c r="Y101" s="475"/>
      <c r="Z101" s="475"/>
    </row>
    <row r="102" spans="6:27">
      <c r="F102" s="495" t="s">
        <v>886</v>
      </c>
      <c r="G102" s="496"/>
      <c r="H102" s="496"/>
      <c r="I102" s="496"/>
      <c r="J102" s="496"/>
      <c r="K102" s="496"/>
      <c r="L102" s="496"/>
      <c r="M102" s="475"/>
      <c r="N102" s="475"/>
      <c r="O102" s="475"/>
      <c r="P102" s="475"/>
      <c r="Q102" s="475"/>
      <c r="R102" s="475"/>
      <c r="S102" s="475"/>
      <c r="T102" s="400"/>
      <c r="U102" s="401"/>
      <c r="V102" s="402"/>
      <c r="W102" s="475"/>
      <c r="X102" s="475"/>
      <c r="Y102" s="475"/>
      <c r="Z102" s="475"/>
    </row>
    <row r="103" spans="6:27">
      <c r="F103" s="495" t="s">
        <v>887</v>
      </c>
      <c r="G103" s="496"/>
      <c r="H103" s="496"/>
      <c r="I103" s="496"/>
      <c r="J103" s="496"/>
      <c r="K103" s="496"/>
      <c r="L103" s="496"/>
      <c r="M103" s="475"/>
      <c r="N103" s="475"/>
      <c r="O103" s="475"/>
      <c r="P103" s="475"/>
      <c r="Q103" s="475"/>
      <c r="R103" s="475"/>
      <c r="S103" s="475"/>
      <c r="T103" s="508"/>
      <c r="U103" s="509"/>
      <c r="V103" s="510"/>
      <c r="W103" s="475"/>
      <c r="X103" s="475"/>
      <c r="Y103" s="475"/>
      <c r="Z103" s="475"/>
    </row>
    <row r="104" spans="6:27">
      <c r="F104" s="177" t="s">
        <v>929</v>
      </c>
      <c r="G104" s="17"/>
      <c r="H104" s="17"/>
      <c r="I104" s="17"/>
      <c r="J104" s="17"/>
      <c r="K104" s="17"/>
      <c r="L104" s="17"/>
      <c r="M104" s="17"/>
      <c r="N104" s="17"/>
      <c r="O104" s="17"/>
      <c r="P104" s="17"/>
      <c r="Q104" s="17"/>
      <c r="R104" s="17"/>
      <c r="S104" s="17"/>
      <c r="T104" s="17"/>
      <c r="U104" s="17"/>
      <c r="V104" s="17"/>
      <c r="W104" s="17"/>
      <c r="X104" s="17"/>
      <c r="Y104" s="178"/>
      <c r="Z104" s="18"/>
    </row>
    <row r="105" spans="6:27">
      <c r="F105" s="179" t="s">
        <v>930</v>
      </c>
      <c r="G105" s="13"/>
      <c r="H105" s="13"/>
      <c r="I105" s="13"/>
      <c r="J105" s="13"/>
      <c r="K105" s="13"/>
      <c r="L105" s="13"/>
      <c r="M105" s="13"/>
      <c r="N105" s="13"/>
      <c r="O105" s="13"/>
      <c r="P105" s="13"/>
      <c r="Q105" s="13"/>
      <c r="R105" s="13"/>
      <c r="S105" s="13"/>
      <c r="T105" s="13"/>
      <c r="U105" s="13"/>
      <c r="V105" s="13"/>
      <c r="W105" s="13"/>
      <c r="X105" s="13"/>
      <c r="Y105" s="173"/>
      <c r="Z105" s="34"/>
    </row>
    <row r="106" spans="6:27">
      <c r="F106" s="179" t="s">
        <v>888</v>
      </c>
      <c r="G106" s="13"/>
      <c r="H106" s="13"/>
      <c r="I106" s="13"/>
      <c r="J106" s="13"/>
      <c r="K106" s="13"/>
      <c r="L106" s="13"/>
      <c r="M106" s="13"/>
      <c r="N106" s="13"/>
      <c r="O106" s="13"/>
      <c r="P106" s="13"/>
      <c r="Q106" s="13"/>
      <c r="R106" s="13"/>
      <c r="S106" s="13"/>
      <c r="T106" s="13"/>
      <c r="U106" s="13"/>
      <c r="V106" s="13"/>
      <c r="W106" s="13"/>
      <c r="X106" s="13"/>
      <c r="Y106" s="173"/>
      <c r="Z106" s="34"/>
    </row>
    <row r="107" spans="6:27">
      <c r="F107" s="180" t="s">
        <v>928</v>
      </c>
      <c r="G107" s="25"/>
      <c r="H107" s="25"/>
      <c r="I107" s="25"/>
      <c r="J107" s="25"/>
      <c r="K107" s="25"/>
      <c r="L107" s="25"/>
      <c r="M107" s="25"/>
      <c r="N107" s="25"/>
      <c r="O107" s="25"/>
      <c r="P107" s="25"/>
      <c r="Q107" s="25"/>
      <c r="R107" s="25"/>
      <c r="S107" s="25"/>
      <c r="T107" s="25"/>
      <c r="U107" s="25"/>
      <c r="V107" s="25"/>
      <c r="W107" s="25"/>
      <c r="X107" s="25"/>
      <c r="Y107" s="181"/>
      <c r="Z107" s="38"/>
    </row>
    <row r="108" spans="6:27">
      <c r="F108" s="78"/>
      <c r="G108" s="13"/>
      <c r="H108" s="13"/>
      <c r="I108" s="13"/>
      <c r="J108" s="13"/>
      <c r="K108" s="13"/>
      <c r="L108" s="13"/>
      <c r="M108" s="13"/>
      <c r="N108" s="13"/>
      <c r="O108" s="13"/>
      <c r="P108" s="13"/>
      <c r="Q108" s="13"/>
      <c r="R108" s="13"/>
      <c r="S108" s="13"/>
      <c r="T108" s="13"/>
      <c r="U108" s="13"/>
      <c r="V108" s="13"/>
      <c r="W108" s="13"/>
      <c r="X108" s="13"/>
      <c r="Y108" s="173"/>
      <c r="Z108" s="13"/>
    </row>
    <row r="109" spans="6:27">
      <c r="F109" s="78"/>
      <c r="G109" s="13"/>
      <c r="H109" s="13"/>
      <c r="I109" s="13"/>
      <c r="J109" s="13"/>
      <c r="K109" s="13"/>
      <c r="L109" s="13"/>
      <c r="M109" s="13"/>
      <c r="N109" s="162"/>
      <c r="O109" s="13"/>
      <c r="P109" s="13"/>
      <c r="Q109" s="13"/>
      <c r="R109" s="13"/>
      <c r="S109" s="13"/>
      <c r="T109" s="13"/>
      <c r="U109" s="13"/>
      <c r="V109" s="13"/>
      <c r="W109" s="13"/>
      <c r="X109" s="13"/>
      <c r="Y109" s="173"/>
      <c r="Z109" s="13"/>
    </row>
    <row r="110" spans="6:27">
      <c r="F110" s="78"/>
      <c r="G110" s="13"/>
      <c r="H110" s="13"/>
      <c r="I110" s="13"/>
      <c r="J110" s="13"/>
      <c r="K110" s="13"/>
      <c r="L110" s="13"/>
      <c r="M110" s="13"/>
      <c r="N110" s="162">
        <v>9</v>
      </c>
      <c r="O110" s="13"/>
      <c r="P110" s="13"/>
      <c r="Q110" s="13"/>
      <c r="R110" s="13"/>
      <c r="S110" s="13"/>
      <c r="T110" s="13"/>
      <c r="U110" s="13"/>
      <c r="V110" s="13"/>
      <c r="W110" s="13"/>
      <c r="X110" s="13"/>
      <c r="Y110" s="173"/>
      <c r="Z110" s="13"/>
    </row>
    <row r="111" spans="6:27">
      <c r="F111" s="78"/>
      <c r="G111" s="13"/>
      <c r="H111" s="13"/>
      <c r="I111" s="13"/>
      <c r="J111" s="13"/>
      <c r="K111" s="13"/>
      <c r="L111" s="13"/>
      <c r="M111" s="13"/>
      <c r="N111" s="13"/>
      <c r="O111" s="13"/>
      <c r="P111" s="13"/>
      <c r="Q111" s="13"/>
      <c r="R111" s="13"/>
      <c r="S111" s="13"/>
      <c r="T111" s="13"/>
      <c r="U111" s="13"/>
      <c r="V111" s="13"/>
      <c r="W111" s="13"/>
      <c r="X111" s="13"/>
      <c r="Y111" s="173"/>
      <c r="Z111" s="13"/>
    </row>
    <row r="112" spans="6:27">
      <c r="G112" s="182"/>
      <c r="H112" s="13"/>
      <c r="I112" s="13"/>
      <c r="J112" s="13"/>
      <c r="K112" s="13"/>
      <c r="L112" s="13"/>
      <c r="M112" s="13"/>
      <c r="N112" s="13"/>
      <c r="O112" s="13"/>
      <c r="P112" s="13"/>
      <c r="Q112" s="13"/>
      <c r="R112" s="13"/>
      <c r="S112" s="13"/>
      <c r="T112" s="13"/>
      <c r="U112" s="13"/>
      <c r="V112" s="13"/>
      <c r="W112" s="13"/>
      <c r="X112" s="13"/>
      <c r="Y112" s="13"/>
      <c r="Z112" s="173"/>
      <c r="AA112" s="13"/>
    </row>
    <row r="113" spans="1:33">
      <c r="A113" s="164" t="s">
        <v>855</v>
      </c>
      <c r="B113" s="505" t="s">
        <v>889</v>
      </c>
      <c r="C113" s="506"/>
      <c r="D113" s="506"/>
      <c r="E113" s="506"/>
      <c r="F113" s="506"/>
      <c r="G113" s="506"/>
      <c r="H113" s="506"/>
      <c r="I113" s="506"/>
      <c r="J113" s="506"/>
      <c r="K113" s="506"/>
      <c r="L113" s="506"/>
      <c r="M113" s="506"/>
      <c r="N113" s="506"/>
      <c r="O113" s="506"/>
      <c r="P113" s="506"/>
      <c r="Q113" s="506"/>
      <c r="R113" s="506"/>
      <c r="S113" s="506"/>
      <c r="T113" s="506"/>
      <c r="U113" s="506"/>
      <c r="V113" s="506"/>
      <c r="W113" s="506"/>
      <c r="X113" s="506"/>
      <c r="Y113" s="506"/>
      <c r="Z113" s="506"/>
      <c r="AA113" s="506"/>
      <c r="AB113" s="40"/>
      <c r="AC113" s="40"/>
      <c r="AD113" s="40"/>
      <c r="AE113" s="40"/>
      <c r="AF113" s="40"/>
      <c r="AG113" s="40"/>
    </row>
    <row r="114" spans="1:33"/>
    <row r="115" spans="1:33">
      <c r="B115" s="1" t="s">
        <v>830</v>
      </c>
      <c r="C115" s="1" t="s">
        <v>920</v>
      </c>
    </row>
    <row r="116" spans="1:33">
      <c r="C116" s="1" t="s">
        <v>921</v>
      </c>
    </row>
    <row r="117" spans="1:33">
      <c r="B117" s="1" t="s">
        <v>844</v>
      </c>
      <c r="C117" s="1" t="s">
        <v>890</v>
      </c>
    </row>
    <row r="118" spans="1:33">
      <c r="B118" s="1"/>
    </row>
    <row r="119" spans="1:33">
      <c r="B119" s="499" t="s">
        <v>891</v>
      </c>
      <c r="C119" s="499"/>
      <c r="D119" s="1" t="s">
        <v>892</v>
      </c>
    </row>
    <row r="120" spans="1:33">
      <c r="B120" s="499" t="s">
        <v>893</v>
      </c>
      <c r="C120" s="499"/>
      <c r="D120" s="1" t="s">
        <v>922</v>
      </c>
    </row>
    <row r="121" spans="1:33">
      <c r="D121" s="1" t="s">
        <v>923</v>
      </c>
    </row>
    <row r="122" spans="1:33">
      <c r="D122" s="1" t="s">
        <v>924</v>
      </c>
    </row>
    <row r="123" spans="1:33">
      <c r="D123" s="1" t="s">
        <v>925</v>
      </c>
    </row>
    <row r="124" spans="1:33">
      <c r="D124" s="1" t="s">
        <v>894</v>
      </c>
    </row>
    <row r="125" spans="1:33">
      <c r="B125" s="499" t="s">
        <v>895</v>
      </c>
      <c r="C125" s="499"/>
      <c r="D125" s="1" t="s">
        <v>926</v>
      </c>
    </row>
    <row r="126" spans="1:33">
      <c r="D126" s="1" t="s">
        <v>927</v>
      </c>
    </row>
    <row r="127" spans="1:33" ht="21">
      <c r="B127" s="499" t="s">
        <v>26</v>
      </c>
      <c r="C127" s="499"/>
      <c r="D127" s="267" t="str">
        <f ca="1">'Provident Fund'!E67</f>
        <v>30-NOV-2022</v>
      </c>
      <c r="E127" s="267"/>
      <c r="F127" s="267"/>
      <c r="G127" s="267"/>
      <c r="H127" s="267"/>
      <c r="I127" s="267"/>
      <c r="S127" s="154">
        <v>4</v>
      </c>
      <c r="T127" s="25"/>
      <c r="U127" s="25" t="s">
        <v>971</v>
      </c>
      <c r="V127" s="181"/>
      <c r="W127" s="25"/>
      <c r="X127" s="25"/>
      <c r="Y127" s="25"/>
      <c r="Z127" s="25"/>
    </row>
    <row r="128" spans="1:33">
      <c r="B128" s="499" t="s">
        <v>49</v>
      </c>
      <c r="C128" s="499"/>
      <c r="D128" s="441">
        <f>+'Employee Data Form'!AA218</f>
        <v>0</v>
      </c>
      <c r="E128" s="441"/>
      <c r="F128" s="441"/>
      <c r="G128" s="441"/>
      <c r="H128" s="441"/>
      <c r="I128" s="441"/>
      <c r="T128" s="507" t="s">
        <v>896</v>
      </c>
      <c r="U128" s="507"/>
      <c r="V128" s="507"/>
      <c r="W128" s="507"/>
      <c r="X128" s="507"/>
      <c r="Y128" s="507"/>
      <c r="Z128" s="507"/>
      <c r="AA128" s="174"/>
      <c r="AB128" s="174"/>
    </row>
    <row r="129" spans="1:33">
      <c r="A129" s="172"/>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73"/>
      <c r="AA129" s="13"/>
      <c r="AB129" s="13"/>
      <c r="AC129" s="13"/>
      <c r="AD129" s="13"/>
      <c r="AE129" s="13"/>
      <c r="AF129" s="13"/>
      <c r="AG129" s="13"/>
    </row>
    <row r="130" spans="1:33" ht="15.75" thickBot="1">
      <c r="A130" s="486"/>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93"/>
      <c r="AC130" s="93"/>
      <c r="AD130" s="93"/>
      <c r="AE130" s="93"/>
      <c r="AF130" s="93"/>
      <c r="AG130" s="93"/>
    </row>
    <row r="131" spans="1:33" ht="21">
      <c r="A131" s="494" t="s">
        <v>897</v>
      </c>
      <c r="B131" s="494"/>
      <c r="C131" s="494"/>
      <c r="D131" s="494"/>
      <c r="E131" s="494"/>
      <c r="F131" s="494"/>
      <c r="G131" s="494"/>
      <c r="H131" s="494"/>
      <c r="I131" s="494"/>
      <c r="J131" s="494"/>
      <c r="K131" s="494"/>
      <c r="L131" s="494"/>
      <c r="M131" s="494"/>
      <c r="N131" s="494"/>
      <c r="O131" s="494"/>
      <c r="P131" s="494"/>
      <c r="Q131" s="494"/>
      <c r="R131" s="494"/>
      <c r="S131" s="494"/>
      <c r="T131" s="494"/>
      <c r="U131" s="494"/>
      <c r="V131" s="494"/>
      <c r="W131" s="494"/>
      <c r="X131" s="494"/>
      <c r="Y131" s="494"/>
      <c r="Z131" s="494"/>
      <c r="AA131" s="494"/>
      <c r="AB131" s="183"/>
      <c r="AC131" s="183"/>
      <c r="AD131" s="183"/>
      <c r="AE131" s="183"/>
      <c r="AF131" s="183"/>
      <c r="AG131" s="183"/>
    </row>
    <row r="132" spans="1:33">
      <c r="J132" s="482" t="str">
        <f>'Provident Fund'!L14</f>
        <v>SRIKANTH KOMMULA</v>
      </c>
      <c r="K132" s="482"/>
      <c r="L132" s="482"/>
      <c r="M132" s="482"/>
      <c r="N132" s="482"/>
      <c r="O132" s="482"/>
      <c r="P132" s="482"/>
      <c r="Q132" s="482"/>
      <c r="R132" s="482"/>
      <c r="S132" s="482"/>
      <c r="T132" s="482"/>
    </row>
    <row r="133" spans="1:33">
      <c r="B133" s="106" t="s">
        <v>830</v>
      </c>
      <c r="C133" s="106" t="s">
        <v>898</v>
      </c>
      <c r="J133" s="483"/>
      <c r="K133" s="483"/>
      <c r="L133" s="483"/>
      <c r="M133" s="483"/>
      <c r="N133" s="483"/>
      <c r="O133" s="483"/>
      <c r="P133" s="483"/>
      <c r="Q133" s="483"/>
      <c r="R133" s="483"/>
      <c r="S133" s="483"/>
      <c r="T133" s="483"/>
      <c r="U133" s="13" t="s">
        <v>899</v>
      </c>
      <c r="V133" s="13"/>
      <c r="W133" s="13"/>
      <c r="X133" s="25"/>
      <c r="Y133" s="25"/>
      <c r="Z133" s="181"/>
      <c r="AA133" s="25"/>
    </row>
    <row r="134" spans="1:33">
      <c r="C134" s="25"/>
      <c r="D134" s="25"/>
      <c r="E134" s="25"/>
      <c r="F134" s="25"/>
      <c r="G134" s="106" t="s">
        <v>900</v>
      </c>
      <c r="P134" s="25"/>
      <c r="Q134" s="25"/>
      <c r="R134" s="25"/>
      <c r="S134" s="25"/>
      <c r="T134" s="25"/>
      <c r="U134" s="25"/>
    </row>
    <row r="135" spans="1:33"/>
    <row r="136" spans="1:33">
      <c r="B136" s="106" t="s">
        <v>844</v>
      </c>
      <c r="C136" s="106" t="s">
        <v>901</v>
      </c>
    </row>
    <row r="137" spans="1:33">
      <c r="C137" s="106" t="s">
        <v>902</v>
      </c>
    </row>
    <row r="138" spans="1:33"/>
    <row r="139" spans="1:33">
      <c r="C139" s="106">
        <v>1</v>
      </c>
      <c r="D139" s="106" t="s">
        <v>903</v>
      </c>
      <c r="T139" s="25"/>
      <c r="U139" s="25"/>
      <c r="V139" s="25"/>
      <c r="W139" s="25"/>
      <c r="X139" s="25"/>
      <c r="Y139" s="25"/>
    </row>
    <row r="140" spans="1:33"/>
    <row r="141" spans="1:33">
      <c r="C141" s="106">
        <v>2</v>
      </c>
      <c r="D141" s="1" t="s">
        <v>904</v>
      </c>
    </row>
    <row r="142" spans="1:33">
      <c r="D142" s="106" t="s">
        <v>905</v>
      </c>
    </row>
    <row r="143" spans="1:33"/>
    <row r="144" spans="1:33">
      <c r="E144" s="184"/>
      <c r="F144" s="106" t="s">
        <v>906</v>
      </c>
    </row>
    <row r="145" spans="2:6">
      <c r="E145" s="184"/>
      <c r="F145" s="106" t="s">
        <v>907</v>
      </c>
    </row>
    <row r="146" spans="2:6">
      <c r="E146" s="184"/>
      <c r="F146" s="106" t="s">
        <v>908</v>
      </c>
    </row>
    <row r="147" spans="2:6"/>
    <row r="148" spans="2:6">
      <c r="B148" s="106" t="s">
        <v>855</v>
      </c>
      <c r="C148" s="106" t="s">
        <v>909</v>
      </c>
    </row>
    <row r="149" spans="2:6"/>
    <row r="150" spans="2:6">
      <c r="C150" s="106">
        <v>1</v>
      </c>
      <c r="D150" s="106" t="s">
        <v>910</v>
      </c>
    </row>
    <row r="151" spans="2:6">
      <c r="D151" s="106" t="s">
        <v>911</v>
      </c>
    </row>
    <row r="152" spans="2:6">
      <c r="D152" s="106" t="s">
        <v>912</v>
      </c>
    </row>
    <row r="153" spans="2:6"/>
    <row r="154" spans="2:6">
      <c r="C154" s="106">
        <v>2</v>
      </c>
      <c r="D154" s="106" t="s">
        <v>904</v>
      </c>
    </row>
    <row r="155" spans="2:6"/>
    <row r="156" spans="2:6">
      <c r="E156" s="184"/>
      <c r="F156" s="106" t="s">
        <v>913</v>
      </c>
    </row>
    <row r="157" spans="2:6">
      <c r="F157" s="106" t="s">
        <v>914</v>
      </c>
    </row>
    <row r="158" spans="2:6"/>
    <row r="159" spans="2:6">
      <c r="E159" s="184"/>
      <c r="F159" s="106" t="s">
        <v>915</v>
      </c>
    </row>
    <row r="160" spans="2:6">
      <c r="F160" s="106" t="s">
        <v>916</v>
      </c>
    </row>
    <row r="161" spans="3:34">
      <c r="F161" s="106" t="s">
        <v>917</v>
      </c>
    </row>
    <row r="162" spans="3:34"/>
    <row r="163" spans="3:34">
      <c r="C163" s="499" t="s">
        <v>26</v>
      </c>
      <c r="D163" s="499"/>
      <c r="E163" s="25"/>
      <c r="F163" s="25"/>
      <c r="G163" s="25"/>
      <c r="H163" s="25"/>
      <c r="I163" s="25"/>
      <c r="R163" s="499" t="s">
        <v>918</v>
      </c>
      <c r="S163" s="499"/>
      <c r="T163" s="499"/>
      <c r="U163" s="499"/>
      <c r="V163" s="499"/>
      <c r="W163" s="499"/>
      <c r="X163" s="499"/>
      <c r="Y163" s="499"/>
      <c r="Z163" s="499"/>
      <c r="AA163" s="174"/>
      <c r="AB163" s="174"/>
      <c r="AC163" s="174"/>
      <c r="AG163" s="108"/>
      <c r="AH163" s="108"/>
    </row>
    <row r="164" spans="3:34">
      <c r="S164" s="499" t="s">
        <v>919</v>
      </c>
      <c r="T164" s="499"/>
      <c r="U164" s="499"/>
      <c r="V164" s="499"/>
      <c r="W164" s="499"/>
      <c r="X164" s="499"/>
      <c r="Y164" s="499"/>
      <c r="Z164" s="174"/>
      <c r="AG164" s="108"/>
      <c r="AH164" s="108"/>
    </row>
    <row r="165" spans="3:34"/>
    <row r="166" spans="3:34">
      <c r="N166" s="162"/>
    </row>
    <row r="167" spans="3:34">
      <c r="N167" s="162">
        <v>10</v>
      </c>
    </row>
    <row r="168" spans="3:34"/>
  </sheetData>
  <sheetProtection password="C528" sheet="1" selectLockedCells="1"/>
  <mergeCells count="173">
    <mergeCell ref="D127:I127"/>
    <mergeCell ref="D128:I128"/>
    <mergeCell ref="K17:N17"/>
    <mergeCell ref="H28:V28"/>
    <mergeCell ref="H31:V31"/>
    <mergeCell ref="E43:U43"/>
    <mergeCell ref="B23:H23"/>
    <mergeCell ref="J23:L23"/>
    <mergeCell ref="K52:O52"/>
    <mergeCell ref="M23:O23"/>
    <mergeCell ref="B25:E25"/>
    <mergeCell ref="G25:I25"/>
    <mergeCell ref="J25:L25"/>
    <mergeCell ref="M25:P25"/>
    <mergeCell ref="B26:E26"/>
    <mergeCell ref="G26:I26"/>
    <mergeCell ref="J26:L26"/>
    <mergeCell ref="M26:P26"/>
    <mergeCell ref="B28:F28"/>
    <mergeCell ref="B29:F29"/>
    <mergeCell ref="B31:F31"/>
    <mergeCell ref="B39:Y39"/>
    <mergeCell ref="K76:L76"/>
    <mergeCell ref="M76:P76"/>
    <mergeCell ref="A9:AA9"/>
    <mergeCell ref="A10:AA10"/>
    <mergeCell ref="B12:C12"/>
    <mergeCell ref="K12:V12"/>
    <mergeCell ref="K13:V13"/>
    <mergeCell ref="G12:I12"/>
    <mergeCell ref="O1:AA1"/>
    <mergeCell ref="I2:AA2"/>
    <mergeCell ref="A3:AA3"/>
    <mergeCell ref="A5:AA5"/>
    <mergeCell ref="A6:AA6"/>
    <mergeCell ref="A8:AA8"/>
    <mergeCell ref="D14:I14"/>
    <mergeCell ref="B16:E16"/>
    <mergeCell ref="B19:G19"/>
    <mergeCell ref="B20:G20"/>
    <mergeCell ref="B22:H22"/>
    <mergeCell ref="J22:L22"/>
    <mergeCell ref="K14:V14"/>
    <mergeCell ref="M22:O22"/>
    <mergeCell ref="G17:H17"/>
    <mergeCell ref="I17:J17"/>
    <mergeCell ref="B62:G62"/>
    <mergeCell ref="H62:J62"/>
    <mergeCell ref="K62:M62"/>
    <mergeCell ref="B43:D43"/>
    <mergeCell ref="B44:D44"/>
    <mergeCell ref="B45:E45"/>
    <mergeCell ref="F45:I45"/>
    <mergeCell ref="J45:M45"/>
    <mergeCell ref="B46:E46"/>
    <mergeCell ref="F46:Y46"/>
    <mergeCell ref="B48:G48"/>
    <mergeCell ref="S45:U45"/>
    <mergeCell ref="V45:Y45"/>
    <mergeCell ref="B49:G49"/>
    <mergeCell ref="I49:P49"/>
    <mergeCell ref="G54:L54"/>
    <mergeCell ref="B59:Z59"/>
    <mergeCell ref="B61:G61"/>
    <mergeCell ref="H61:J61"/>
    <mergeCell ref="K61:M61"/>
    <mergeCell ref="I76:J76"/>
    <mergeCell ref="J81:M81"/>
    <mergeCell ref="I79:J79"/>
    <mergeCell ref="K79:L79"/>
    <mergeCell ref="M79:P79"/>
    <mergeCell ref="G68:I69"/>
    <mergeCell ref="J68:U68"/>
    <mergeCell ref="J69:U69"/>
    <mergeCell ref="G70:I70"/>
    <mergeCell ref="J70:U70"/>
    <mergeCell ref="I73:U73"/>
    <mergeCell ref="C82:F82"/>
    <mergeCell ref="G82:I82"/>
    <mergeCell ref="N82:P82"/>
    <mergeCell ref="Q82:U82"/>
    <mergeCell ref="G84:I84"/>
    <mergeCell ref="J84:M84"/>
    <mergeCell ref="G83:I83"/>
    <mergeCell ref="J82:M82"/>
    <mergeCell ref="C81:F81"/>
    <mergeCell ref="G81:I81"/>
    <mergeCell ref="N81:P81"/>
    <mergeCell ref="Q81:U81"/>
    <mergeCell ref="C90:G90"/>
    <mergeCell ref="H90:I90"/>
    <mergeCell ref="J90:K90"/>
    <mergeCell ref="M90:U90"/>
    <mergeCell ref="C87:G87"/>
    <mergeCell ref="H87:J87"/>
    <mergeCell ref="K87:N87"/>
    <mergeCell ref="O88:R88"/>
    <mergeCell ref="S88:U88"/>
    <mergeCell ref="H88:J88"/>
    <mergeCell ref="M92:P92"/>
    <mergeCell ref="Q92:R92"/>
    <mergeCell ref="S92:U92"/>
    <mergeCell ref="B95:E95"/>
    <mergeCell ref="F95:L95"/>
    <mergeCell ref="M95:S95"/>
    <mergeCell ref="T95:V95"/>
    <mergeCell ref="C91:G91"/>
    <mergeCell ref="H91:I91"/>
    <mergeCell ref="J91:K91"/>
    <mergeCell ref="M91:P91"/>
    <mergeCell ref="Q91:R91"/>
    <mergeCell ref="S91:U91"/>
    <mergeCell ref="F99:L99"/>
    <mergeCell ref="M99:S99"/>
    <mergeCell ref="T99:V99"/>
    <mergeCell ref="W99:Z99"/>
    <mergeCell ref="T98:Z98"/>
    <mergeCell ref="W95:Z95"/>
    <mergeCell ref="F96:L96"/>
    <mergeCell ref="M96:S96"/>
    <mergeCell ref="T96:V96"/>
    <mergeCell ref="W96:Z96"/>
    <mergeCell ref="F97:L97"/>
    <mergeCell ref="M97:S97"/>
    <mergeCell ref="T97:Z97"/>
    <mergeCell ref="C163:D163"/>
    <mergeCell ref="S164:Y164"/>
    <mergeCell ref="R163:Z163"/>
    <mergeCell ref="K19:V20"/>
    <mergeCell ref="I19:J20"/>
    <mergeCell ref="B113:AA113"/>
    <mergeCell ref="B119:C119"/>
    <mergeCell ref="B120:C120"/>
    <mergeCell ref="B125:C125"/>
    <mergeCell ref="B127:C127"/>
    <mergeCell ref="B128:C128"/>
    <mergeCell ref="T128:Z128"/>
    <mergeCell ref="F102:L102"/>
    <mergeCell ref="M102:S102"/>
    <mergeCell ref="T102:V102"/>
    <mergeCell ref="W102:Z102"/>
    <mergeCell ref="F103:L103"/>
    <mergeCell ref="M103:S103"/>
    <mergeCell ref="T103:V103"/>
    <mergeCell ref="W103:Z103"/>
    <mergeCell ref="F100:L100"/>
    <mergeCell ref="M100:S100"/>
    <mergeCell ref="T100:V100"/>
    <mergeCell ref="W100:Z100"/>
    <mergeCell ref="W87:Z87"/>
    <mergeCell ref="N83:P83"/>
    <mergeCell ref="N84:P84"/>
    <mergeCell ref="Q83:U83"/>
    <mergeCell ref="Q84:U84"/>
    <mergeCell ref="O87:R87"/>
    <mergeCell ref="S87:U87"/>
    <mergeCell ref="J132:T133"/>
    <mergeCell ref="G13:I13"/>
    <mergeCell ref="P34:R34"/>
    <mergeCell ref="S34:U34"/>
    <mergeCell ref="P37:R37"/>
    <mergeCell ref="S37:U37"/>
    <mergeCell ref="A130:AA130"/>
    <mergeCell ref="K88:N88"/>
    <mergeCell ref="J83:M83"/>
    <mergeCell ref="W81:Z82"/>
    <mergeCell ref="A131:AA131"/>
    <mergeCell ref="F101:L101"/>
    <mergeCell ref="M101:S101"/>
    <mergeCell ref="T101:V101"/>
    <mergeCell ref="W101:Z101"/>
    <mergeCell ref="F98:L98"/>
    <mergeCell ref="M98:S98"/>
  </mergeCells>
  <pageMargins left="0.7" right="0.7" top="0.75" bottom="0.75" header="0.3" footer="0.3"/>
  <pageSetup paperSize="9" scale="87" orientation="portrait" r:id="rId1"/>
  <drawing r:id="rId2"/>
</worksheet>
</file>

<file path=xl/worksheets/sheet5.xml><?xml version="1.0" encoding="utf-8"?>
<worksheet xmlns="http://schemas.openxmlformats.org/spreadsheetml/2006/main" xmlns:r="http://schemas.openxmlformats.org/officeDocument/2006/relationships">
  <sheetPr codeName="Sheet5"/>
  <dimension ref="A1:AR587"/>
  <sheetViews>
    <sheetView showGridLines="0" showRowColHeaders="0" workbookViewId="0">
      <selection activeCell="C1" sqref="C1"/>
    </sheetView>
  </sheetViews>
  <sheetFormatPr defaultColWidth="0" defaultRowHeight="15" customHeight="1" zeroHeight="1"/>
  <cols>
    <col min="1" max="36" width="2.7109375" style="106" customWidth="1"/>
    <col min="37" max="38" width="9.140625" style="106" hidden="1" customWidth="1"/>
    <col min="39" max="44" width="9.140625" style="96" hidden="1" customWidth="1"/>
    <col min="45" max="107" width="9.140625" style="106" hidden="1" customWidth="1"/>
    <col min="108" max="16384" width="9.140625" style="106" hidden="1"/>
  </cols>
  <sheetData>
    <row r="1" spans="3:44" s="6" customFormat="1" ht="15" customHeight="1">
      <c r="AL1" s="26"/>
      <c r="AM1" s="96" t="s">
        <v>336</v>
      </c>
      <c r="AN1" s="96" t="s">
        <v>138</v>
      </c>
      <c r="AO1" s="96" t="s">
        <v>26</v>
      </c>
      <c r="AP1" s="96" t="s">
        <v>132</v>
      </c>
      <c r="AQ1" s="96" t="s">
        <v>337</v>
      </c>
      <c r="AR1" s="96" t="s">
        <v>25</v>
      </c>
    </row>
    <row r="2" spans="3:44" s="6" customFormat="1" ht="15" customHeight="1">
      <c r="AL2" s="106"/>
      <c r="AM2" s="97" t="str">
        <f>IF('Employee Data Form'!F43="","",'Employee Data Form'!F43)</f>
        <v>KOMMULA RAJAIAH</v>
      </c>
      <c r="AN2" s="96" t="str">
        <f>IF('Employee Data Form'!P43="","",'Employee Data Form'!P43)</f>
        <v>FATHER</v>
      </c>
      <c r="AO2" s="96">
        <f>IF('Employee Data Form'!U43="","",'Employee Data Form'!U43)</f>
        <v>19</v>
      </c>
      <c r="AP2" s="96" t="str">
        <f>IF('Employee Data Form'!W43="","",'Employee Data Form'!W43)</f>
        <v>FEB</v>
      </c>
      <c r="AQ2" s="96">
        <f>IF('Employee Data Form'!Y43="","",'Employee Data Form'!Y43)</f>
        <v>1970</v>
      </c>
      <c r="AR2" s="96" t="str">
        <f>IF(AND('Employee Data Form'!C29="",'Employee Data Form'!Z30=""),"-",CONCATENATE('Employee Data Form'!C29,"-",'Employee Data Form'!Z30))</f>
        <v>7-1-632/79/1/A BAAPU NAGAR .SR NAGAR500038-</v>
      </c>
    </row>
    <row r="3" spans="3:44" s="6" customFormat="1" ht="15" customHeight="1">
      <c r="AL3" s="106"/>
      <c r="AM3" s="97" t="str">
        <f>IF('Employee Data Form'!F44="","",'Employee Data Form'!F44)</f>
        <v>KOMMUA SUGUNA</v>
      </c>
      <c r="AN3" s="96" t="str">
        <f>IF('Employee Data Form'!P44="","",'Employee Data Form'!P44)</f>
        <v>MOTHER</v>
      </c>
      <c r="AO3" s="96">
        <f>IF('Employee Data Form'!U44="","",'Employee Data Form'!U44)</f>
        <v>15</v>
      </c>
      <c r="AP3" s="96" t="str">
        <f>IF('Employee Data Form'!W44="","",'Employee Data Form'!W44)</f>
        <v>MAY</v>
      </c>
      <c r="AQ3" s="96">
        <f>IF('Employee Data Form'!Y44="","",'Employee Data Form'!Y44)</f>
        <v>1980</v>
      </c>
      <c r="AR3" s="96" t="str">
        <f>IF(AND('Employee Data Form'!C29="",'Employee Data Form'!Z30=""),"-",CONCATENATE('Employee Data Form'!C29,"-",'Employee Data Form'!Z30))</f>
        <v>7-1-632/79/1/A BAAPU NAGAR .SR NAGAR500038-</v>
      </c>
    </row>
    <row r="4" spans="3:44" s="6" customFormat="1" ht="15" customHeight="1">
      <c r="AL4" s="106"/>
      <c r="AM4" s="97"/>
      <c r="AN4" s="96"/>
      <c r="AO4" s="96"/>
      <c r="AP4" s="96"/>
      <c r="AQ4" s="96"/>
      <c r="AR4" s="96"/>
    </row>
    <row r="5" spans="3:44" s="6" customFormat="1" ht="15" customHeight="1">
      <c r="AL5" s="106"/>
      <c r="AM5" s="97"/>
      <c r="AN5" s="96"/>
      <c r="AO5" s="96"/>
      <c r="AP5" s="96"/>
      <c r="AQ5" s="96"/>
      <c r="AR5" s="96"/>
    </row>
    <row r="6" spans="3:44" s="6" customFormat="1" ht="15" customHeight="1">
      <c r="P6" s="7"/>
      <c r="Q6" s="152"/>
      <c r="R6" s="54" t="s">
        <v>50</v>
      </c>
      <c r="S6" s="7"/>
      <c r="X6" s="7" t="s">
        <v>52</v>
      </c>
      <c r="Z6" s="7"/>
      <c r="AA6" s="7"/>
      <c r="AB6" s="7"/>
      <c r="AC6" s="66"/>
      <c r="AL6" s="106"/>
      <c r="AM6" s="97" t="str">
        <f>IF('Employee Data Form'!F45="","",'Employee Data Form'!F45)</f>
        <v>KOMMULA VINOD</v>
      </c>
      <c r="AN6" s="96" t="str">
        <f>IF('Employee Data Form'!P45="","",'Employee Data Form'!P45)</f>
        <v>BROTHER</v>
      </c>
      <c r="AO6" s="96">
        <f>IF('Employee Data Form'!U45="","",'Employee Data Form'!U45)</f>
        <v>4</v>
      </c>
      <c r="AP6" s="96" t="str">
        <f>IF('Employee Data Form'!W45="","",'Employee Data Form'!W45)</f>
        <v>APR</v>
      </c>
      <c r="AQ6" s="96">
        <f>IF('Employee Data Form'!Y45="","",'Employee Data Form'!Y45)</f>
        <v>1994</v>
      </c>
      <c r="AR6" s="96" t="str">
        <f>IF(AND('Employee Data Form'!C29="",'Employee Data Form'!Z30=""),"-",CONCATENATE('Employee Data Form'!C29,"-",'Employee Data Form'!Z30))</f>
        <v>7-1-632/79/1/A BAAPU NAGAR .SR NAGAR500038-</v>
      </c>
    </row>
    <row r="7" spans="3:44" s="6" customFormat="1" ht="15" customHeight="1">
      <c r="N7" s="14"/>
      <c r="O7" s="7"/>
      <c r="P7" s="7"/>
      <c r="R7" s="67" t="s">
        <v>185</v>
      </c>
      <c r="AL7" s="106"/>
      <c r="AM7" s="97" t="str">
        <f>IF('Employee Data Form'!F46="","",'Employee Data Form'!F46)</f>
        <v>KOMMULA SHIVA</v>
      </c>
      <c r="AN7" s="96" t="str">
        <f>IF('Employee Data Form'!P46="","",'Employee Data Form'!P46)</f>
        <v>BROTHER</v>
      </c>
      <c r="AO7" s="96">
        <f>IF('Employee Data Form'!U46="","",'Employee Data Form'!U46)</f>
        <v>10</v>
      </c>
      <c r="AP7" s="96" t="str">
        <f>IF('Employee Data Form'!W46="","",'Employee Data Form'!W46)</f>
        <v>SEP</v>
      </c>
      <c r="AQ7" s="96">
        <f>IF('Employee Data Form'!Y46="","",'Employee Data Form'!Y46)</f>
        <v>1996</v>
      </c>
      <c r="AR7" s="96" t="str">
        <f>IF(AND('Employee Data Form'!C29="",'Employee Data Form'!Z30=""),"-",CONCATENATE('Employee Data Form'!C29,"-",'Employee Data Form'!Z30))</f>
        <v>7-1-632/79/1/A BAAPU NAGAR .SR NAGAR500038-</v>
      </c>
    </row>
    <row r="8" spans="3:44" s="6" customFormat="1" ht="15" customHeight="1">
      <c r="Q8" s="7"/>
      <c r="R8" s="54" t="s">
        <v>51</v>
      </c>
      <c r="S8" s="7"/>
      <c r="T8" s="7"/>
      <c r="AL8" s="106"/>
      <c r="AM8" s="97" t="str">
        <f>IF('Employee Data Form'!F47="","",'Employee Data Form'!F47)</f>
        <v/>
      </c>
      <c r="AN8" s="96" t="str">
        <f>IF('Employee Data Form'!P47="","",'Employee Data Form'!P47)</f>
        <v/>
      </c>
      <c r="AO8" s="96" t="str">
        <f>IF('Employee Data Form'!U47="","",'Employee Data Form'!U47)</f>
        <v/>
      </c>
      <c r="AP8" s="96" t="str">
        <f>IF('Employee Data Form'!W47="","",'Employee Data Form'!W47)</f>
        <v/>
      </c>
      <c r="AQ8" s="96" t="str">
        <f>IF('Employee Data Form'!Y47="","",'Employee Data Form'!Y47)</f>
        <v/>
      </c>
      <c r="AR8" s="96" t="str">
        <f>IF(AND('Employee Data Form'!C29="",'Employee Data Form'!Z30=""),"-",CONCATENATE('Employee Data Form'!C29,"-",'Employee Data Form'!Z30))</f>
        <v>7-1-632/79/1/A BAAPU NAGAR .SR NAGAR500038-</v>
      </c>
    </row>
    <row r="9" spans="3:44" s="6" customFormat="1" ht="9.9499999999999993" customHeight="1">
      <c r="Q9" s="7"/>
      <c r="R9" s="54"/>
      <c r="S9" s="7"/>
      <c r="T9" s="7"/>
      <c r="AL9" s="106"/>
      <c r="AM9" s="97" t="str">
        <f>IF('Employee Data Form'!F48="","",'Employee Data Form'!F48)</f>
        <v/>
      </c>
      <c r="AN9" s="96" t="str">
        <f>IF('Employee Data Form'!P48="","",'Employee Data Form'!P48)</f>
        <v/>
      </c>
      <c r="AO9" s="96" t="str">
        <f>IF('Employee Data Form'!U48="","",'Employee Data Form'!U48)</f>
        <v/>
      </c>
      <c r="AP9" s="96" t="str">
        <f>IF('Employee Data Form'!W48="","",'Employee Data Form'!W48)</f>
        <v/>
      </c>
      <c r="AQ9" s="96" t="str">
        <f>IF('Employee Data Form'!Y48="","",'Employee Data Form'!Y48)</f>
        <v/>
      </c>
      <c r="AR9" s="96" t="str">
        <f>IF(AND('Employee Data Form'!C29="",'Employee Data Form'!Z30=""),"-",CONCATENATE('Employee Data Form'!C29,"-",'Employee Data Form'!Z30))</f>
        <v>7-1-632/79/1/A BAAPU NAGAR .SR NAGAR500038-</v>
      </c>
    </row>
    <row r="10" spans="3:44" s="6" customFormat="1" ht="15" customHeight="1">
      <c r="C10" s="6" t="s">
        <v>93</v>
      </c>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L10" s="106"/>
      <c r="AM10" s="97" t="str">
        <f>IF('Employee Data Form'!F49="","",'Employee Data Form'!F49)</f>
        <v/>
      </c>
      <c r="AN10" s="96" t="str">
        <f>IF('Employee Data Form'!P49="","",'Employee Data Form'!P49)</f>
        <v/>
      </c>
      <c r="AO10" s="96" t="str">
        <f>IF('Employee Data Form'!U49="","",'Employee Data Form'!U49)</f>
        <v/>
      </c>
      <c r="AP10" s="96" t="str">
        <f>IF('Employee Data Form'!W49="","",'Employee Data Form'!W49)</f>
        <v/>
      </c>
      <c r="AQ10" s="96" t="str">
        <f>IF('Employee Data Form'!Y49="","",'Employee Data Form'!Y49)</f>
        <v/>
      </c>
      <c r="AR10" s="96" t="str">
        <f>IF(AND('Employee Data Form'!C29="",'Employee Data Form'!Z30=""),"-",CONCATENATE('Employee Data Form'!C29,"-",'Employee Data Form'!Z30))</f>
        <v>7-1-632/79/1/A BAAPU NAGAR .SR NAGAR500038-</v>
      </c>
    </row>
    <row r="11" spans="3:44" s="6" customFormat="1" ht="9.9499999999999993" customHeight="1">
      <c r="AL11" s="106"/>
      <c r="AM11" s="97" t="str">
        <f>IF('Employee Data Form'!F50="","",'Employee Data Form'!F50)</f>
        <v/>
      </c>
      <c r="AN11" s="96" t="str">
        <f>IF('Employee Data Form'!T50="","",'Employee Data Form'!T50)</f>
        <v/>
      </c>
      <c r="AO11" s="96" t="str">
        <f>IF('Employee Data Form'!Y50="","",'Employee Data Form'!Y50)</f>
        <v/>
      </c>
      <c r="AP11" s="96" t="str">
        <f>IF('Employee Data Form'!AA50="","",'Employee Data Form'!AA50)</f>
        <v/>
      </c>
      <c r="AQ11" s="96" t="str">
        <f>IF('Employee Data Form'!AC50="","",'Employee Data Form'!AC50)</f>
        <v/>
      </c>
      <c r="AR11" s="96" t="str">
        <f>IF(AND('Employee Data Form'!C29="",'Employee Data Form'!Z30=""),"-",CONCATENATE('Employee Data Form'!C29,"-",'Employee Data Form'!Z30))</f>
        <v>7-1-632/79/1/A BAAPU NAGAR .SR NAGAR500038-</v>
      </c>
    </row>
    <row r="12" spans="3:44" s="6" customFormat="1" ht="9.9499999999999993" customHeight="1">
      <c r="D12" s="68"/>
      <c r="E12" s="68"/>
      <c r="F12" s="68"/>
      <c r="G12" s="68"/>
      <c r="H12" s="68"/>
      <c r="I12" s="68"/>
      <c r="J12" s="68"/>
      <c r="K12" s="68"/>
      <c r="L12" s="68"/>
      <c r="M12" s="68"/>
      <c r="N12" s="68"/>
      <c r="O12" s="68"/>
      <c r="P12" s="68"/>
      <c r="Q12" s="68"/>
      <c r="R12" s="68"/>
      <c r="S12" s="68"/>
      <c r="T12" s="68"/>
      <c r="U12" s="68"/>
      <c r="V12" s="68"/>
      <c r="W12" s="68"/>
      <c r="X12" s="68"/>
      <c r="Y12" s="68"/>
      <c r="Z12" s="68"/>
      <c r="AA12" s="68"/>
      <c r="AB12" s="68"/>
      <c r="AC12" s="68"/>
      <c r="AD12" s="68"/>
      <c r="AE12" s="68"/>
      <c r="AF12" s="68"/>
      <c r="AG12" s="68"/>
      <c r="AH12" s="68"/>
      <c r="AL12" s="106"/>
      <c r="AM12" s="97"/>
      <c r="AN12" s="96"/>
      <c r="AO12" s="96"/>
      <c r="AP12" s="96"/>
      <c r="AQ12" s="96"/>
      <c r="AR12" s="96"/>
    </row>
    <row r="13" spans="3:44" s="6" customFormat="1" ht="9.9499999999999993" customHeight="1">
      <c r="AL13" s="106"/>
      <c r="AM13" s="97"/>
      <c r="AN13" s="96"/>
      <c r="AO13" s="96"/>
      <c r="AP13" s="96"/>
      <c r="AQ13" s="96"/>
      <c r="AR13" s="96"/>
    </row>
    <row r="14" spans="3:44" s="6" customFormat="1" ht="9.9499999999999993" customHeight="1">
      <c r="D14" s="68"/>
      <c r="E14" s="68"/>
      <c r="F14" s="68"/>
      <c r="G14" s="68"/>
      <c r="H14" s="68"/>
      <c r="I14" s="68"/>
      <c r="J14" s="68"/>
      <c r="K14" s="68"/>
      <c r="L14" s="68"/>
      <c r="M14" s="68"/>
      <c r="N14" s="68"/>
      <c r="O14" s="68"/>
      <c r="P14" s="68"/>
      <c r="Q14" s="68"/>
      <c r="R14" s="68"/>
      <c r="S14" s="68"/>
      <c r="T14" s="68"/>
      <c r="U14" s="68"/>
      <c r="V14" s="68"/>
      <c r="W14" s="68"/>
      <c r="X14" s="68"/>
      <c r="Y14" s="68"/>
      <c r="Z14" s="68"/>
      <c r="AA14" s="68"/>
      <c r="AB14" s="68"/>
      <c r="AC14" s="68"/>
      <c r="AD14" s="68"/>
      <c r="AE14" s="68"/>
      <c r="AF14" s="68"/>
      <c r="AG14" s="68"/>
      <c r="AH14" s="68"/>
      <c r="AL14" s="106"/>
      <c r="AM14" s="96"/>
      <c r="AN14" s="96"/>
      <c r="AO14" s="96"/>
      <c r="AP14" s="96"/>
      <c r="AQ14" s="96"/>
      <c r="AR14" s="96"/>
    </row>
    <row r="15" spans="3:44" s="6" customFormat="1" ht="15" customHeight="1">
      <c r="J15" s="69" t="s">
        <v>53</v>
      </c>
      <c r="AL15" s="106"/>
      <c r="AM15" s="96"/>
      <c r="AN15" s="96"/>
      <c r="AO15" s="96"/>
      <c r="AP15" s="96"/>
      <c r="AQ15" s="96"/>
      <c r="AR15" s="96"/>
    </row>
    <row r="16" spans="3:44" s="6" customFormat="1" ht="9.9499999999999993" customHeight="1">
      <c r="AL16" s="106"/>
      <c r="AM16" s="96"/>
      <c r="AN16" s="96"/>
      <c r="AO16" s="96"/>
      <c r="AP16" s="96"/>
      <c r="AQ16" s="96"/>
      <c r="AR16" s="96"/>
    </row>
    <row r="17" spans="3:44" s="58" customFormat="1" ht="15" customHeight="1">
      <c r="C17" s="70" t="s">
        <v>32</v>
      </c>
      <c r="D17" s="70" t="s">
        <v>186</v>
      </c>
      <c r="K17" s="445" t="str">
        <f>TRIM(CONCATENATE(IF('Employee Data Form'!S9="","",UPPER('Employee Data Form'!S9))," ",IF('Employee Data Form'!AA9="","",UPPER('Employee Data Form'!AA9))," ",IF('Employee Data Form'!K9="","",UPPER('Employee Data Form'!K9))))</f>
        <v>SRIKANTH KOMMULA</v>
      </c>
      <c r="L17" s="445"/>
      <c r="M17" s="445"/>
      <c r="N17" s="445"/>
      <c r="O17" s="445"/>
      <c r="P17" s="445"/>
      <c r="Q17" s="445"/>
      <c r="R17" s="445"/>
      <c r="S17" s="445"/>
      <c r="T17" s="445"/>
      <c r="U17" s="445"/>
      <c r="V17" s="445"/>
      <c r="W17" s="445"/>
      <c r="X17" s="445"/>
      <c r="Y17" s="445"/>
      <c r="Z17" s="445"/>
      <c r="AA17" s="445"/>
      <c r="AB17" s="445"/>
      <c r="AC17" s="445"/>
      <c r="AD17" s="445"/>
      <c r="AE17" s="445"/>
      <c r="AF17" s="445"/>
      <c r="AG17" s="445"/>
      <c r="AH17" s="445"/>
      <c r="AL17" s="106"/>
      <c r="AM17" s="96"/>
      <c r="AN17" s="96"/>
      <c r="AO17" s="96"/>
      <c r="AP17" s="96"/>
      <c r="AQ17" s="96"/>
      <c r="AR17" s="96"/>
    </row>
    <row r="18" spans="3:44" s="58" customFormat="1" ht="15" customHeight="1">
      <c r="C18" s="70"/>
      <c r="D18" s="58" t="s">
        <v>187</v>
      </c>
      <c r="AL18" s="106"/>
      <c r="AM18" s="96"/>
      <c r="AN18" s="96"/>
      <c r="AO18" s="96"/>
      <c r="AP18" s="96"/>
      <c r="AQ18" s="96"/>
      <c r="AR18" s="96"/>
    </row>
    <row r="19" spans="3:44" s="58" customFormat="1" ht="15" customHeight="1">
      <c r="C19" s="70"/>
      <c r="D19" s="58" t="s">
        <v>188</v>
      </c>
      <c r="AL19" s="106"/>
      <c r="AM19" s="96"/>
      <c r="AN19" s="96"/>
      <c r="AO19" s="96"/>
      <c r="AP19" s="96"/>
      <c r="AQ19" s="96"/>
      <c r="AR19" s="96"/>
    </row>
    <row r="20" spans="3:44" s="58" customFormat="1" ht="15" customHeight="1">
      <c r="C20" s="70"/>
      <c r="D20" s="58" t="s">
        <v>189</v>
      </c>
      <c r="AL20" s="106"/>
      <c r="AM20" s="96"/>
      <c r="AN20" s="96"/>
      <c r="AO20" s="96"/>
      <c r="AP20" s="96"/>
      <c r="AQ20" s="96"/>
      <c r="AR20" s="96"/>
    </row>
    <row r="21" spans="3:44" s="58" customFormat="1" ht="15" customHeight="1">
      <c r="C21" s="70"/>
      <c r="D21" s="70" t="s">
        <v>190</v>
      </c>
      <c r="E21" s="70"/>
      <c r="F21" s="70"/>
      <c r="G21" s="70"/>
      <c r="H21" s="70"/>
      <c r="I21" s="70"/>
      <c r="J21" s="70"/>
      <c r="K21" s="70"/>
      <c r="L21" s="70"/>
      <c r="M21" s="70"/>
      <c r="N21" s="70"/>
      <c r="AL21" s="106"/>
      <c r="AM21" s="96"/>
      <c r="AN21" s="96"/>
      <c r="AO21" s="96"/>
      <c r="AP21" s="96"/>
      <c r="AQ21" s="96"/>
      <c r="AR21" s="96"/>
    </row>
    <row r="22" spans="3:44" s="58" customFormat="1" ht="15" customHeight="1">
      <c r="C22" s="70" t="s">
        <v>33</v>
      </c>
      <c r="D22" s="71" t="s">
        <v>191</v>
      </c>
      <c r="E22" s="70"/>
      <c r="F22" s="70"/>
      <c r="G22" s="70"/>
      <c r="H22" s="70"/>
      <c r="I22" s="70"/>
      <c r="J22" s="70"/>
      <c r="K22" s="70"/>
      <c r="L22" s="70"/>
      <c r="M22" s="70"/>
      <c r="AL22" s="106"/>
      <c r="AM22" s="96"/>
      <c r="AN22" s="96"/>
      <c r="AO22" s="96"/>
      <c r="AP22" s="96"/>
      <c r="AQ22" s="96"/>
      <c r="AR22" s="96"/>
    </row>
    <row r="23" spans="3:44" s="58" customFormat="1" ht="15" customHeight="1">
      <c r="D23" s="70" t="s">
        <v>192</v>
      </c>
      <c r="E23" s="70"/>
      <c r="F23" s="70"/>
      <c r="G23" s="70"/>
      <c r="H23" s="70"/>
      <c r="I23" s="70"/>
      <c r="J23" s="70"/>
      <c r="K23" s="70"/>
      <c r="L23" s="70"/>
      <c r="M23" s="70"/>
      <c r="N23" s="70"/>
      <c r="AL23" s="106"/>
      <c r="AM23" s="96"/>
      <c r="AN23" s="96"/>
      <c r="AO23" s="96"/>
      <c r="AP23" s="96"/>
      <c r="AQ23" s="96"/>
      <c r="AR23" s="96"/>
    </row>
    <row r="24" spans="3:44" s="58" customFormat="1" ht="15" customHeight="1">
      <c r="C24" s="58" t="s">
        <v>34</v>
      </c>
      <c r="D24" s="71" t="s">
        <v>54</v>
      </c>
      <c r="E24" s="70"/>
      <c r="F24" s="70"/>
      <c r="G24" s="70"/>
      <c r="H24" s="70"/>
      <c r="I24" s="70"/>
      <c r="J24" s="70"/>
      <c r="K24" s="70"/>
      <c r="L24" s="70"/>
      <c r="M24" s="70"/>
      <c r="N24" s="70"/>
      <c r="AL24" s="106"/>
      <c r="AM24" s="96"/>
      <c r="AN24" s="96"/>
      <c r="AO24" s="96"/>
      <c r="AP24" s="96"/>
      <c r="AQ24" s="96"/>
      <c r="AR24" s="96"/>
    </row>
    <row r="25" spans="3:44" s="58" customFormat="1" ht="15" customHeight="1">
      <c r="C25" s="70" t="s">
        <v>35</v>
      </c>
      <c r="D25" s="71" t="s">
        <v>193</v>
      </c>
      <c r="E25" s="70"/>
      <c r="F25" s="70"/>
      <c r="G25" s="70"/>
      <c r="H25" s="70"/>
      <c r="AL25" s="106"/>
      <c r="AM25" s="96"/>
      <c r="AN25" s="96"/>
      <c r="AO25" s="96"/>
      <c r="AP25" s="96"/>
      <c r="AQ25" s="96"/>
      <c r="AR25" s="96"/>
    </row>
    <row r="26" spans="3:44" s="58" customFormat="1" ht="15" customHeight="1">
      <c r="C26" s="70"/>
      <c r="D26" s="71" t="s">
        <v>194</v>
      </c>
      <c r="E26" s="70"/>
      <c r="F26" s="70"/>
      <c r="G26" s="70"/>
      <c r="H26" s="70"/>
      <c r="AL26" s="106"/>
      <c r="AM26" s="96"/>
      <c r="AN26" s="96"/>
      <c r="AO26" s="96"/>
      <c r="AP26" s="96"/>
      <c r="AQ26" s="96"/>
      <c r="AR26" s="96"/>
    </row>
    <row r="27" spans="3:44" s="58" customFormat="1" ht="15" customHeight="1">
      <c r="C27" s="71" t="s">
        <v>55</v>
      </c>
      <c r="D27" s="71" t="s">
        <v>56</v>
      </c>
      <c r="E27" s="70"/>
      <c r="F27" s="70"/>
      <c r="K27" s="70"/>
      <c r="L27" s="70"/>
      <c r="M27" s="70"/>
      <c r="N27" s="70"/>
      <c r="O27" s="70"/>
      <c r="T27" s="68"/>
      <c r="U27" s="68"/>
      <c r="V27" s="68"/>
      <c r="W27" s="68"/>
      <c r="X27" s="68"/>
      <c r="Y27" s="68"/>
      <c r="Z27" s="68"/>
      <c r="AA27" s="68"/>
      <c r="AB27" s="68"/>
      <c r="AC27" s="58" t="s">
        <v>195</v>
      </c>
      <c r="AL27" s="106"/>
      <c r="AM27" s="96"/>
      <c r="AN27" s="96"/>
      <c r="AO27" s="96"/>
      <c r="AP27" s="96"/>
      <c r="AQ27" s="96"/>
      <c r="AR27" s="96"/>
    </row>
    <row r="28" spans="3:44" s="58" customFormat="1" ht="15" customHeight="1">
      <c r="D28" s="70" t="s">
        <v>196</v>
      </c>
      <c r="E28" s="70"/>
      <c r="F28" s="70"/>
      <c r="G28" s="70"/>
      <c r="V28" s="71"/>
      <c r="W28" s="70"/>
      <c r="AL28" s="106"/>
      <c r="AM28" s="96"/>
      <c r="AN28" s="96"/>
      <c r="AO28" s="96"/>
      <c r="AP28" s="96"/>
      <c r="AQ28" s="96"/>
      <c r="AR28" s="96"/>
    </row>
    <row r="29" spans="3:44" s="58" customFormat="1" ht="15" customHeight="1">
      <c r="C29" s="58" t="s">
        <v>94</v>
      </c>
      <c r="D29" s="71" t="s">
        <v>197</v>
      </c>
      <c r="E29" s="70"/>
      <c r="F29" s="70"/>
      <c r="G29" s="70"/>
      <c r="H29" s="70"/>
      <c r="AL29" s="106"/>
      <c r="AM29" s="96"/>
      <c r="AN29" s="96"/>
      <c r="AO29" s="96"/>
      <c r="AP29" s="96"/>
      <c r="AQ29" s="96"/>
      <c r="AR29" s="96"/>
    </row>
    <row r="30" spans="3:44" s="6" customFormat="1" ht="5.0999999999999996" customHeight="1">
      <c r="AL30" s="106"/>
      <c r="AM30" s="96"/>
      <c r="AN30" s="96"/>
      <c r="AO30" s="96"/>
      <c r="AP30" s="96"/>
      <c r="AQ30" s="96"/>
      <c r="AR30" s="96"/>
    </row>
    <row r="31" spans="3:44" s="6" customFormat="1" ht="20.100000000000001" customHeight="1">
      <c r="R31" s="54" t="s">
        <v>57</v>
      </c>
      <c r="AL31" s="106"/>
      <c r="AM31" s="96"/>
      <c r="AN31" s="96"/>
      <c r="AO31" s="96"/>
      <c r="AP31" s="96"/>
      <c r="AQ31" s="96"/>
      <c r="AR31" s="96"/>
    </row>
    <row r="32" spans="3:44" s="6" customFormat="1" ht="45" customHeight="1">
      <c r="C32" s="364" t="s">
        <v>202</v>
      </c>
      <c r="D32" s="379"/>
      <c r="E32" s="379"/>
      <c r="F32" s="379"/>
      <c r="G32" s="379"/>
      <c r="H32" s="379"/>
      <c r="I32" s="379"/>
      <c r="J32" s="379"/>
      <c r="K32" s="379"/>
      <c r="L32" s="379"/>
      <c r="M32" s="379"/>
      <c r="N32" s="379"/>
      <c r="O32" s="380"/>
      <c r="P32" s="364" t="s">
        <v>203</v>
      </c>
      <c r="Q32" s="379"/>
      <c r="R32" s="379"/>
      <c r="S32" s="379"/>
      <c r="T32" s="379"/>
      <c r="U32" s="379"/>
      <c r="V32" s="379"/>
      <c r="W32" s="380"/>
      <c r="X32" s="364" t="s">
        <v>204</v>
      </c>
      <c r="Y32" s="379"/>
      <c r="Z32" s="379"/>
      <c r="AA32" s="379"/>
      <c r="AB32" s="380"/>
      <c r="AC32" s="364" t="s">
        <v>205</v>
      </c>
      <c r="AD32" s="379"/>
      <c r="AE32" s="379"/>
      <c r="AF32" s="379"/>
      <c r="AG32" s="379"/>
      <c r="AH32" s="380"/>
      <c r="AL32" s="106"/>
      <c r="AM32" s="96"/>
      <c r="AN32" s="96"/>
      <c r="AO32" s="96"/>
      <c r="AP32" s="96"/>
      <c r="AQ32" s="96"/>
      <c r="AR32" s="96"/>
    </row>
    <row r="33" spans="3:44" s="6" customFormat="1" ht="15" customHeight="1">
      <c r="C33" s="595" t="s">
        <v>198</v>
      </c>
      <c r="D33" s="289"/>
      <c r="E33" s="369"/>
      <c r="F33" s="369"/>
      <c r="G33" s="369"/>
      <c r="H33" s="369"/>
      <c r="I33" s="369"/>
      <c r="J33" s="369"/>
      <c r="K33" s="369"/>
      <c r="L33" s="369"/>
      <c r="M33" s="369"/>
      <c r="N33" s="369"/>
      <c r="O33" s="370"/>
      <c r="P33" s="595" t="s">
        <v>199</v>
      </c>
      <c r="Q33" s="289"/>
      <c r="R33" s="289"/>
      <c r="S33" s="289"/>
      <c r="T33" s="289"/>
      <c r="U33" s="289"/>
      <c r="V33" s="289"/>
      <c r="W33" s="288"/>
      <c r="X33" s="595" t="s">
        <v>200</v>
      </c>
      <c r="Y33" s="289"/>
      <c r="Z33" s="289"/>
      <c r="AA33" s="289"/>
      <c r="AB33" s="288"/>
      <c r="AC33" s="595" t="s">
        <v>201</v>
      </c>
      <c r="AD33" s="289"/>
      <c r="AE33" s="289"/>
      <c r="AF33" s="289"/>
      <c r="AG33" s="289"/>
      <c r="AH33" s="288"/>
      <c r="AL33" s="106"/>
      <c r="AM33" s="96"/>
      <c r="AN33" s="96"/>
      <c r="AO33" s="96"/>
      <c r="AP33" s="96"/>
      <c r="AQ33" s="96"/>
      <c r="AR33" s="96"/>
    </row>
    <row r="34" spans="3:44" s="6" customFormat="1" ht="15" customHeight="1">
      <c r="C34" s="568" t="s">
        <v>198</v>
      </c>
      <c r="D34" s="569"/>
      <c r="E34" s="390" t="str">
        <f>IF('Employee Data Form'!C160="","",'Employee Data Form'!C160)</f>
        <v/>
      </c>
      <c r="F34" s="391"/>
      <c r="G34" s="391"/>
      <c r="H34" s="391"/>
      <c r="I34" s="391"/>
      <c r="J34" s="391"/>
      <c r="K34" s="391"/>
      <c r="L34" s="391"/>
      <c r="M34" s="391"/>
      <c r="N34" s="391"/>
      <c r="O34" s="392"/>
      <c r="P34" s="553" t="str">
        <f>IF(E34="","",VLOOKUP(E34,$AM$2:$AQ$11,2,0))</f>
        <v/>
      </c>
      <c r="Q34" s="554"/>
      <c r="R34" s="554"/>
      <c r="S34" s="554"/>
      <c r="T34" s="554"/>
      <c r="U34" s="554"/>
      <c r="V34" s="554"/>
      <c r="W34" s="555"/>
      <c r="X34" s="559" t="str">
        <f>IF(E34="","",ROUND(('Employee Data Form'!$H$218-DATEVALUE(CONCATENATE(VLOOKUP(E34,$AM$2:$AQ$11,3,0),"-",VLOOKUP(E34,$AM$2:$AQ$11,4,0),"-",VLOOKUP(E34,$AM$2:$AQ$11,5,0))))/365.25,0))</f>
        <v/>
      </c>
      <c r="Y34" s="560"/>
      <c r="Z34" s="560"/>
      <c r="AA34" s="560"/>
      <c r="AB34" s="561"/>
      <c r="AC34" s="564" t="str">
        <f>IF('Employee Data Form'!U160="","",'Employee Data Form'!U160)</f>
        <v/>
      </c>
      <c r="AD34" s="554"/>
      <c r="AE34" s="554"/>
      <c r="AF34" s="554"/>
      <c r="AG34" s="554"/>
      <c r="AH34" s="555"/>
      <c r="AL34" s="106"/>
      <c r="AM34" s="96"/>
      <c r="AN34" s="96"/>
      <c r="AO34" s="96"/>
      <c r="AP34" s="96"/>
      <c r="AQ34" s="96"/>
      <c r="AR34" s="96"/>
    </row>
    <row r="35" spans="3:44" s="6" customFormat="1" ht="45" customHeight="1">
      <c r="C35" s="570"/>
      <c r="D35" s="571"/>
      <c r="E35" s="565" t="str">
        <f>IF(E34="","",VLOOKUP(E34,$AM$2:$AR$11,6,0))</f>
        <v/>
      </c>
      <c r="F35" s="566"/>
      <c r="G35" s="566"/>
      <c r="H35" s="566"/>
      <c r="I35" s="566"/>
      <c r="J35" s="566"/>
      <c r="K35" s="566"/>
      <c r="L35" s="566"/>
      <c r="M35" s="566"/>
      <c r="N35" s="566"/>
      <c r="O35" s="567"/>
      <c r="P35" s="556"/>
      <c r="Q35" s="557"/>
      <c r="R35" s="557"/>
      <c r="S35" s="557"/>
      <c r="T35" s="557"/>
      <c r="U35" s="557"/>
      <c r="V35" s="557"/>
      <c r="W35" s="558"/>
      <c r="X35" s="562"/>
      <c r="Y35" s="250"/>
      <c r="Z35" s="250"/>
      <c r="AA35" s="250"/>
      <c r="AB35" s="563"/>
      <c r="AC35" s="556"/>
      <c r="AD35" s="557"/>
      <c r="AE35" s="557"/>
      <c r="AF35" s="557"/>
      <c r="AG35" s="557"/>
      <c r="AH35" s="558"/>
      <c r="AL35" s="106"/>
      <c r="AM35" s="96"/>
      <c r="AN35" s="96"/>
      <c r="AO35" s="96"/>
      <c r="AP35" s="96"/>
      <c r="AQ35" s="96"/>
      <c r="AR35" s="96"/>
    </row>
    <row r="36" spans="3:44" s="6" customFormat="1" ht="15" customHeight="1">
      <c r="C36" s="568" t="s">
        <v>199</v>
      </c>
      <c r="D36" s="569"/>
      <c r="E36" s="390" t="str">
        <f>IF('Employee Data Form'!C161="","",'Employee Data Form'!C161)</f>
        <v/>
      </c>
      <c r="F36" s="391"/>
      <c r="G36" s="391"/>
      <c r="H36" s="391"/>
      <c r="I36" s="391"/>
      <c r="J36" s="391"/>
      <c r="K36" s="391"/>
      <c r="L36" s="391"/>
      <c r="M36" s="391"/>
      <c r="N36" s="391"/>
      <c r="O36" s="392"/>
      <c r="P36" s="553" t="str">
        <f>IF(E36="","",VLOOKUP(E36,$AM$2:$AQ$11,2,0))</f>
        <v/>
      </c>
      <c r="Q36" s="554"/>
      <c r="R36" s="554"/>
      <c r="S36" s="554"/>
      <c r="T36" s="554"/>
      <c r="U36" s="554"/>
      <c r="V36" s="554"/>
      <c r="W36" s="555"/>
      <c r="X36" s="559" t="str">
        <f>IF(E36="","",ROUND(('Employee Data Form'!$H$218-DATEVALUE(CONCATENATE(VLOOKUP(E36,$AM$2:$AQ$11,3,0),"-",VLOOKUP(E36,$AM$2:$AQ$11,4,0),"-",VLOOKUP(E36,$AM$2:$AQ$11,5,0))))/365.25,0))</f>
        <v/>
      </c>
      <c r="Y36" s="560"/>
      <c r="Z36" s="560"/>
      <c r="AA36" s="560"/>
      <c r="AB36" s="561"/>
      <c r="AC36" s="564" t="str">
        <f>IF('Employee Data Form'!U161="","",'Employee Data Form'!U161)</f>
        <v/>
      </c>
      <c r="AD36" s="554"/>
      <c r="AE36" s="554"/>
      <c r="AF36" s="554"/>
      <c r="AG36" s="554"/>
      <c r="AH36" s="555"/>
      <c r="AL36" s="106"/>
      <c r="AM36" s="96"/>
      <c r="AN36" s="96"/>
      <c r="AO36" s="96"/>
      <c r="AP36" s="96"/>
      <c r="AQ36" s="96"/>
      <c r="AR36" s="96"/>
    </row>
    <row r="37" spans="3:44" s="6" customFormat="1" ht="45" customHeight="1">
      <c r="C37" s="570"/>
      <c r="D37" s="571"/>
      <c r="E37" s="565" t="str">
        <f>IF(E36="","",VLOOKUP(E36,$AM$2:$AR$11,6,0))</f>
        <v/>
      </c>
      <c r="F37" s="566"/>
      <c r="G37" s="566"/>
      <c r="H37" s="566"/>
      <c r="I37" s="566"/>
      <c r="J37" s="566"/>
      <c r="K37" s="566"/>
      <c r="L37" s="566"/>
      <c r="M37" s="566"/>
      <c r="N37" s="566"/>
      <c r="O37" s="567"/>
      <c r="P37" s="556"/>
      <c r="Q37" s="557"/>
      <c r="R37" s="557"/>
      <c r="S37" s="557"/>
      <c r="T37" s="557"/>
      <c r="U37" s="557"/>
      <c r="V37" s="557"/>
      <c r="W37" s="558"/>
      <c r="X37" s="562"/>
      <c r="Y37" s="250"/>
      <c r="Z37" s="250"/>
      <c r="AA37" s="250"/>
      <c r="AB37" s="563"/>
      <c r="AC37" s="556"/>
      <c r="AD37" s="557"/>
      <c r="AE37" s="557"/>
      <c r="AF37" s="557"/>
      <c r="AG37" s="557"/>
      <c r="AH37" s="558"/>
      <c r="AL37" s="106"/>
      <c r="AM37" s="96"/>
      <c r="AN37" s="96"/>
      <c r="AO37" s="96"/>
      <c r="AP37" s="96"/>
      <c r="AQ37" s="96"/>
      <c r="AR37" s="96"/>
    </row>
    <row r="38" spans="3:44" s="6" customFormat="1" ht="15" customHeight="1">
      <c r="C38" s="568" t="s">
        <v>200</v>
      </c>
      <c r="D38" s="569"/>
      <c r="E38" s="390" t="str">
        <f>IF('Employee Data Form'!C162="","",'Employee Data Form'!C162)</f>
        <v/>
      </c>
      <c r="F38" s="391"/>
      <c r="G38" s="391"/>
      <c r="H38" s="391"/>
      <c r="I38" s="391"/>
      <c r="J38" s="391"/>
      <c r="K38" s="391"/>
      <c r="L38" s="391"/>
      <c r="M38" s="391"/>
      <c r="N38" s="391"/>
      <c r="O38" s="392"/>
      <c r="P38" s="553" t="str">
        <f>IF(E38="","",VLOOKUP(E38,$AM$2:$AQ$11,2,0))</f>
        <v/>
      </c>
      <c r="Q38" s="554"/>
      <c r="R38" s="554"/>
      <c r="S38" s="554"/>
      <c r="T38" s="554"/>
      <c r="U38" s="554"/>
      <c r="V38" s="554"/>
      <c r="W38" s="555"/>
      <c r="X38" s="559" t="str">
        <f>IF(E38="","",ROUND(('Employee Data Form'!$H$218-DATEVALUE(CONCATENATE(VLOOKUP(E38,$AM$2:$AQ$11,3,0),"-",VLOOKUP(E38,$AM$2:$AQ$11,4,0),"-",VLOOKUP(E38,$AM$2:$AQ$11,5,0))))/365.25,0))</f>
        <v/>
      </c>
      <c r="Y38" s="560"/>
      <c r="Z38" s="560"/>
      <c r="AA38" s="560"/>
      <c r="AB38" s="561"/>
      <c r="AC38" s="564" t="str">
        <f>IF('Employee Data Form'!U162="","",'Employee Data Form'!U162)</f>
        <v/>
      </c>
      <c r="AD38" s="554"/>
      <c r="AE38" s="554"/>
      <c r="AF38" s="554"/>
      <c r="AG38" s="554"/>
      <c r="AH38" s="555"/>
      <c r="AL38" s="106"/>
      <c r="AM38" s="96"/>
      <c r="AN38" s="96"/>
      <c r="AO38" s="96"/>
      <c r="AP38" s="96"/>
      <c r="AQ38" s="96"/>
      <c r="AR38" s="96"/>
    </row>
    <row r="39" spans="3:44" s="6" customFormat="1" ht="45" customHeight="1">
      <c r="C39" s="570"/>
      <c r="D39" s="571"/>
      <c r="E39" s="565" t="str">
        <f>IF(E38="","",VLOOKUP(E38,$AM$2:$AR$11,6,0))</f>
        <v/>
      </c>
      <c r="F39" s="566"/>
      <c r="G39" s="566"/>
      <c r="H39" s="566"/>
      <c r="I39" s="566"/>
      <c r="J39" s="566"/>
      <c r="K39" s="566"/>
      <c r="L39" s="566"/>
      <c r="M39" s="566"/>
      <c r="N39" s="566"/>
      <c r="O39" s="567"/>
      <c r="P39" s="556"/>
      <c r="Q39" s="557"/>
      <c r="R39" s="557"/>
      <c r="S39" s="557"/>
      <c r="T39" s="557"/>
      <c r="U39" s="557"/>
      <c r="V39" s="557"/>
      <c r="W39" s="558"/>
      <c r="X39" s="562"/>
      <c r="Y39" s="250"/>
      <c r="Z39" s="250"/>
      <c r="AA39" s="250"/>
      <c r="AB39" s="563"/>
      <c r="AC39" s="556"/>
      <c r="AD39" s="557"/>
      <c r="AE39" s="557"/>
      <c r="AF39" s="557"/>
      <c r="AG39" s="557"/>
      <c r="AH39" s="558"/>
      <c r="AL39" s="106"/>
      <c r="AM39" s="96"/>
      <c r="AN39" s="96"/>
      <c r="AO39" s="96"/>
      <c r="AP39" s="96"/>
      <c r="AQ39" s="96"/>
      <c r="AR39" s="96"/>
    </row>
    <row r="40" spans="3:44" s="6" customFormat="1" ht="15" customHeight="1">
      <c r="C40" s="568" t="s">
        <v>201</v>
      </c>
      <c r="D40" s="569"/>
      <c r="E40" s="390" t="str">
        <f>IF('Employee Data Form'!C163="","",'Employee Data Form'!C163)</f>
        <v/>
      </c>
      <c r="F40" s="391"/>
      <c r="G40" s="391"/>
      <c r="H40" s="391"/>
      <c r="I40" s="391"/>
      <c r="J40" s="391"/>
      <c r="K40" s="391"/>
      <c r="L40" s="391"/>
      <c r="M40" s="391"/>
      <c r="N40" s="391"/>
      <c r="O40" s="392"/>
      <c r="P40" s="553" t="str">
        <f>IF(E40="","",VLOOKUP(E40,$AM$2:$AQ$11,2,0))</f>
        <v/>
      </c>
      <c r="Q40" s="554"/>
      <c r="R40" s="554"/>
      <c r="S40" s="554"/>
      <c r="T40" s="554"/>
      <c r="U40" s="554"/>
      <c r="V40" s="554"/>
      <c r="W40" s="555"/>
      <c r="X40" s="559" t="str">
        <f>IF(E40="","",ROUND(('Employee Data Form'!$H$218-DATEVALUE(CONCATENATE(VLOOKUP(E40,$AM$2:$AQ$11,3,0),"-",VLOOKUP(E40,$AM$2:$AQ$11,4,0),"-",VLOOKUP(E40,$AM$2:$AQ$11,5,0))))/365.25,0))</f>
        <v/>
      </c>
      <c r="Y40" s="560"/>
      <c r="Z40" s="560"/>
      <c r="AA40" s="560"/>
      <c r="AB40" s="561"/>
      <c r="AC40" s="564" t="str">
        <f>IF('Employee Data Form'!U163="","",'Employee Data Form'!U163)</f>
        <v/>
      </c>
      <c r="AD40" s="554"/>
      <c r="AE40" s="554"/>
      <c r="AF40" s="554"/>
      <c r="AG40" s="554"/>
      <c r="AH40" s="555"/>
      <c r="AL40" s="106"/>
      <c r="AM40" s="96"/>
      <c r="AN40" s="96"/>
      <c r="AO40" s="96"/>
      <c r="AP40" s="96"/>
      <c r="AQ40" s="96"/>
      <c r="AR40" s="96"/>
    </row>
    <row r="41" spans="3:44" s="6" customFormat="1" ht="45" customHeight="1">
      <c r="C41" s="570"/>
      <c r="D41" s="571"/>
      <c r="E41" s="565" t="str">
        <f>IF(E40="","",VLOOKUP(E40,$AM$2:$AR$11,6,0))</f>
        <v/>
      </c>
      <c r="F41" s="566"/>
      <c r="G41" s="566"/>
      <c r="H41" s="566"/>
      <c r="I41" s="566"/>
      <c r="J41" s="566"/>
      <c r="K41" s="566"/>
      <c r="L41" s="566"/>
      <c r="M41" s="566"/>
      <c r="N41" s="566"/>
      <c r="O41" s="567"/>
      <c r="P41" s="556"/>
      <c r="Q41" s="557"/>
      <c r="R41" s="557"/>
      <c r="S41" s="557"/>
      <c r="T41" s="557"/>
      <c r="U41" s="557"/>
      <c r="V41" s="557"/>
      <c r="W41" s="558"/>
      <c r="X41" s="562"/>
      <c r="Y41" s="250"/>
      <c r="Z41" s="250"/>
      <c r="AA41" s="250"/>
      <c r="AB41" s="563"/>
      <c r="AC41" s="556"/>
      <c r="AD41" s="557"/>
      <c r="AE41" s="557"/>
      <c r="AF41" s="557"/>
      <c r="AG41" s="557"/>
      <c r="AH41" s="558"/>
      <c r="AL41" s="106"/>
      <c r="AM41" s="96"/>
      <c r="AN41" s="96"/>
      <c r="AO41" s="96"/>
      <c r="AP41" s="96"/>
      <c r="AQ41" s="96"/>
      <c r="AR41" s="96"/>
    </row>
    <row r="42" spans="3:44" s="6" customFormat="1" ht="15" customHeight="1">
      <c r="C42" s="568" t="s">
        <v>58</v>
      </c>
      <c r="D42" s="569"/>
      <c r="E42" s="390"/>
      <c r="F42" s="391"/>
      <c r="G42" s="391"/>
      <c r="H42" s="391"/>
      <c r="I42" s="391"/>
      <c r="J42" s="391"/>
      <c r="K42" s="391"/>
      <c r="L42" s="391"/>
      <c r="M42" s="391"/>
      <c r="N42" s="391"/>
      <c r="O42" s="392"/>
      <c r="P42" s="553" t="str">
        <f>IF(E42="","",VLOOKUP(E42,$AM$2:$AQ$11,2,0))</f>
        <v/>
      </c>
      <c r="Q42" s="554"/>
      <c r="R42" s="554"/>
      <c r="S42" s="554"/>
      <c r="T42" s="554"/>
      <c r="U42" s="554"/>
      <c r="V42" s="554"/>
      <c r="W42" s="555"/>
      <c r="X42" s="559" t="str">
        <f>IF(E42="","",ROUND(('Employee Data Form'!$H$218-DATEVALUE(CONCATENATE(VLOOKUP(E42,$AM$2:$AQ$11,3,0),"-",VLOOKUP(E42,$AM$2:$AQ$11,4,0),"-",VLOOKUP(E42,$AM$2:$AQ$11,5,0))))/365.25,0))</f>
        <v/>
      </c>
      <c r="Y42" s="560"/>
      <c r="Z42" s="560"/>
      <c r="AA42" s="560"/>
      <c r="AB42" s="561"/>
      <c r="AC42" s="553"/>
      <c r="AD42" s="554"/>
      <c r="AE42" s="554"/>
      <c r="AF42" s="554"/>
      <c r="AG42" s="554"/>
      <c r="AH42" s="555"/>
      <c r="AL42" s="106"/>
      <c r="AM42" s="96"/>
      <c r="AN42" s="96"/>
      <c r="AO42" s="96"/>
      <c r="AP42" s="96"/>
      <c r="AQ42" s="96"/>
      <c r="AR42" s="96"/>
    </row>
    <row r="43" spans="3:44" s="6" customFormat="1" ht="45" customHeight="1">
      <c r="C43" s="570"/>
      <c r="D43" s="571"/>
      <c r="E43" s="565" t="str">
        <f>IF(E42="","",VLOOKUP(E42,$AM$2:$AR$11,6,0))</f>
        <v/>
      </c>
      <c r="F43" s="566"/>
      <c r="G43" s="566"/>
      <c r="H43" s="566"/>
      <c r="I43" s="566"/>
      <c r="J43" s="566"/>
      <c r="K43" s="566"/>
      <c r="L43" s="566"/>
      <c r="M43" s="566"/>
      <c r="N43" s="566"/>
      <c r="O43" s="567"/>
      <c r="P43" s="556"/>
      <c r="Q43" s="557"/>
      <c r="R43" s="557"/>
      <c r="S43" s="557"/>
      <c r="T43" s="557"/>
      <c r="U43" s="557"/>
      <c r="V43" s="557"/>
      <c r="W43" s="558"/>
      <c r="X43" s="562"/>
      <c r="Y43" s="250"/>
      <c r="Z43" s="250"/>
      <c r="AA43" s="250"/>
      <c r="AB43" s="563"/>
      <c r="AC43" s="556"/>
      <c r="AD43" s="557"/>
      <c r="AE43" s="557"/>
      <c r="AF43" s="557"/>
      <c r="AG43" s="557"/>
      <c r="AH43" s="558"/>
      <c r="AL43" s="106"/>
      <c r="AM43" s="96"/>
      <c r="AN43" s="96"/>
      <c r="AO43" s="96"/>
      <c r="AP43" s="96"/>
      <c r="AQ43" s="96"/>
      <c r="AR43" s="96"/>
    </row>
    <row r="44" spans="3:44" s="6" customFormat="1" ht="9.9499999999999993" customHeight="1">
      <c r="AL44" s="106"/>
      <c r="AM44" s="96"/>
      <c r="AN44" s="96"/>
      <c r="AO44" s="96"/>
      <c r="AP44" s="96"/>
      <c r="AQ44" s="96"/>
      <c r="AR44" s="96"/>
    </row>
    <row r="45" spans="3:44" s="6" customFormat="1" ht="9.9499999999999993" customHeight="1">
      <c r="R45" s="20">
        <v>11</v>
      </c>
      <c r="AL45" s="106"/>
      <c r="AM45" s="96"/>
      <c r="AN45" s="96"/>
      <c r="AO45" s="96"/>
      <c r="AP45" s="96"/>
      <c r="AQ45" s="96"/>
      <c r="AR45" s="96"/>
    </row>
    <row r="46" spans="3:44" s="6" customFormat="1" ht="15" customHeight="1">
      <c r="AL46" s="106"/>
      <c r="AM46" s="96"/>
      <c r="AN46" s="96"/>
      <c r="AO46" s="96"/>
      <c r="AP46" s="96"/>
      <c r="AQ46" s="96"/>
      <c r="AR46" s="96"/>
    </row>
    <row r="47" spans="3:44" s="6" customFormat="1" ht="15" customHeight="1">
      <c r="AL47" s="106"/>
      <c r="AM47" s="96"/>
      <c r="AN47" s="96"/>
      <c r="AO47" s="96"/>
      <c r="AP47" s="96"/>
      <c r="AQ47" s="96"/>
      <c r="AR47" s="96"/>
    </row>
    <row r="48" spans="3:44" ht="15" customHeight="1"/>
    <row r="49" spans="3:44" ht="15" customHeight="1"/>
    <row r="50" spans="3:44" ht="15" customHeight="1">
      <c r="R50" s="72"/>
    </row>
    <row r="51" spans="3:44" ht="15" customHeight="1">
      <c r="R51" s="72" t="s">
        <v>59</v>
      </c>
    </row>
    <row r="52" spans="3:44" ht="15" customHeight="1"/>
    <row r="53" spans="3:44" s="6" customFormat="1" ht="20.100000000000001" customHeight="1">
      <c r="C53" s="73" t="s">
        <v>32</v>
      </c>
      <c r="D53" s="73" t="s">
        <v>60</v>
      </c>
      <c r="E53" s="7"/>
      <c r="M53" s="250" t="str">
        <f>TRIM(CONCATENATE(IF('Employee Data Form'!S9="","",UPPER('Employee Data Form'!S9))," ",IF('Employee Data Form'!AA9="","",UPPER('Employee Data Form'!AA9))," ",IF('Employee Data Form'!K9="","",UPPER('Employee Data Form'!K9))))</f>
        <v>SRIKANTH KOMMULA</v>
      </c>
      <c r="N53" s="250"/>
      <c r="O53" s="250"/>
      <c r="P53" s="250"/>
      <c r="Q53" s="250"/>
      <c r="R53" s="250"/>
      <c r="S53" s="250"/>
      <c r="T53" s="250"/>
      <c r="U53" s="250"/>
      <c r="V53" s="250"/>
      <c r="W53" s="250"/>
      <c r="X53" s="250"/>
      <c r="Y53" s="250"/>
      <c r="Z53" s="250"/>
      <c r="AA53" s="250"/>
      <c r="AB53" s="250"/>
      <c r="AC53" s="250"/>
      <c r="AD53" s="250"/>
      <c r="AE53" s="250"/>
      <c r="AF53" s="250"/>
      <c r="AG53" s="250"/>
      <c r="AH53" s="250"/>
      <c r="AL53" s="106"/>
      <c r="AM53" s="96"/>
      <c r="AN53" s="96"/>
      <c r="AO53" s="96"/>
      <c r="AP53" s="96"/>
      <c r="AQ53" s="96"/>
      <c r="AR53" s="96"/>
    </row>
    <row r="54" spans="3:44" s="6" customFormat="1" ht="20.100000000000001" customHeight="1">
      <c r="C54" s="73" t="s">
        <v>33</v>
      </c>
      <c r="D54" s="73" t="s">
        <v>61</v>
      </c>
      <c r="F54" s="250" t="str">
        <f>IF('Employee Data Form'!Z14="","",UPPER('Employee Data Form'!Z14))</f>
        <v>MALE</v>
      </c>
      <c r="G54" s="250"/>
      <c r="H54" s="250"/>
      <c r="I54" s="250"/>
      <c r="J54" s="250"/>
      <c r="K54" s="250"/>
      <c r="L54" s="250"/>
      <c r="U54" s="73" t="s">
        <v>34</v>
      </c>
      <c r="V54" s="73" t="s">
        <v>9</v>
      </c>
      <c r="Y54" s="250" t="str">
        <f>IF('Employee Data Form'!Z24="","",UPPER('Employee Data Form'!Z24))</f>
        <v>HINDUISM</v>
      </c>
      <c r="Z54" s="250"/>
      <c r="AA54" s="250"/>
      <c r="AB54" s="250"/>
      <c r="AC54" s="250"/>
      <c r="AD54" s="250"/>
      <c r="AE54" s="250"/>
      <c r="AF54" s="250"/>
      <c r="AG54" s="250"/>
      <c r="AH54" s="250"/>
      <c r="AL54" s="106"/>
      <c r="AM54" s="96"/>
      <c r="AN54" s="96"/>
      <c r="AO54" s="96"/>
      <c r="AP54" s="96"/>
      <c r="AQ54" s="96"/>
      <c r="AR54" s="96"/>
    </row>
    <row r="55" spans="3:44" s="6" customFormat="1" ht="20.100000000000001" customHeight="1">
      <c r="C55" s="73" t="s">
        <v>35</v>
      </c>
      <c r="D55" s="73" t="s">
        <v>206</v>
      </c>
      <c r="E55" s="7"/>
      <c r="F55" s="7"/>
      <c r="G55" s="7"/>
      <c r="R55" s="250" t="str">
        <f>IF('Employee Data Form'!K22="","",UPPER('Employee Data Form'!K22))</f>
        <v>SINGLE</v>
      </c>
      <c r="S55" s="250"/>
      <c r="T55" s="250"/>
      <c r="U55" s="250"/>
      <c r="V55" s="250"/>
      <c r="W55" s="250"/>
      <c r="X55" s="250"/>
      <c r="Y55" s="250"/>
      <c r="Z55" s="250"/>
      <c r="AA55" s="250"/>
      <c r="AB55" s="250"/>
      <c r="AC55" s="250"/>
      <c r="AD55" s="250"/>
      <c r="AL55" s="106"/>
      <c r="AM55" s="96"/>
      <c r="AN55" s="96"/>
      <c r="AO55" s="96"/>
      <c r="AP55" s="96"/>
      <c r="AQ55" s="96"/>
      <c r="AR55" s="96"/>
    </row>
    <row r="56" spans="3:44" s="6" customFormat="1" ht="20.100000000000001" customHeight="1">
      <c r="C56" s="7" t="s">
        <v>55</v>
      </c>
      <c r="D56" s="7" t="s">
        <v>207</v>
      </c>
      <c r="E56" s="7"/>
      <c r="F56" s="7"/>
      <c r="G56" s="7"/>
      <c r="R56" s="349"/>
      <c r="S56" s="349"/>
      <c r="T56" s="349"/>
      <c r="U56" s="349"/>
      <c r="V56" s="349"/>
      <c r="W56" s="349"/>
      <c r="X56" s="349"/>
      <c r="Y56" s="349"/>
      <c r="Z56" s="349"/>
      <c r="AA56" s="349"/>
      <c r="AB56" s="349"/>
      <c r="AC56" s="349"/>
      <c r="AD56" s="349"/>
      <c r="AL56" s="106"/>
      <c r="AM56" s="96"/>
      <c r="AN56" s="96"/>
      <c r="AO56" s="96"/>
      <c r="AP56" s="96"/>
      <c r="AQ56" s="96"/>
      <c r="AR56" s="96"/>
    </row>
    <row r="57" spans="3:44" s="6" customFormat="1" ht="20.100000000000001" customHeight="1">
      <c r="C57" s="73" t="s">
        <v>62</v>
      </c>
      <c r="D57" s="73" t="s">
        <v>208</v>
      </c>
      <c r="E57" s="7"/>
      <c r="F57" s="7"/>
      <c r="G57" s="7"/>
      <c r="U57" s="73" t="s">
        <v>37</v>
      </c>
      <c r="V57" s="73" t="s">
        <v>63</v>
      </c>
      <c r="W57" s="7"/>
      <c r="X57" s="7"/>
      <c r="AC57" s="250"/>
      <c r="AD57" s="250"/>
      <c r="AE57" s="250"/>
      <c r="AF57" s="250"/>
      <c r="AG57" s="250"/>
      <c r="AH57" s="250"/>
      <c r="AL57" s="106"/>
      <c r="AM57" s="96"/>
      <c r="AN57" s="96"/>
      <c r="AO57" s="96"/>
      <c r="AP57" s="96"/>
      <c r="AQ57" s="96"/>
      <c r="AR57" s="96"/>
    </row>
    <row r="58" spans="3:44" s="6" customFormat="1" ht="15" customHeight="1">
      <c r="AL58" s="106"/>
      <c r="AM58" s="96"/>
      <c r="AN58" s="96"/>
      <c r="AO58" s="96"/>
      <c r="AP58" s="96"/>
      <c r="AQ58" s="96"/>
      <c r="AR58" s="96"/>
    </row>
    <row r="59" spans="3:44" s="6" customFormat="1" ht="20.100000000000001" customHeight="1">
      <c r="C59" s="316" t="s">
        <v>209</v>
      </c>
      <c r="D59" s="317"/>
      <c r="E59" s="317"/>
      <c r="F59" s="573"/>
      <c r="G59" s="573"/>
      <c r="H59" s="573"/>
      <c r="I59" s="573"/>
      <c r="J59" s="573"/>
      <c r="K59" s="573"/>
      <c r="L59" s="573"/>
      <c r="M59" s="573"/>
      <c r="N59" s="574"/>
      <c r="O59" s="316" t="s">
        <v>210</v>
      </c>
      <c r="P59" s="317"/>
      <c r="Q59" s="317"/>
      <c r="R59" s="573"/>
      <c r="S59" s="573"/>
      <c r="T59" s="573"/>
      <c r="U59" s="573"/>
      <c r="V59" s="573"/>
      <c r="W59" s="573"/>
      <c r="X59" s="573"/>
      <c r="Y59" s="574"/>
      <c r="Z59" s="316" t="s">
        <v>211</v>
      </c>
      <c r="AA59" s="317"/>
      <c r="AB59" s="317"/>
      <c r="AC59" s="317"/>
      <c r="AD59" s="573"/>
      <c r="AE59" s="573"/>
      <c r="AF59" s="573"/>
      <c r="AG59" s="573"/>
      <c r="AH59" s="574"/>
      <c r="AL59" s="106"/>
      <c r="AM59" s="96"/>
      <c r="AN59" s="96"/>
      <c r="AO59" s="96"/>
      <c r="AP59" s="96"/>
      <c r="AQ59" s="96"/>
      <c r="AR59" s="96"/>
    </row>
    <row r="60" spans="3:44" s="6" customFormat="1" ht="20.100000000000001" customHeight="1">
      <c r="C60" s="316" t="s">
        <v>212</v>
      </c>
      <c r="D60" s="317"/>
      <c r="E60" s="317"/>
      <c r="F60" s="317"/>
      <c r="G60" s="573"/>
      <c r="H60" s="573"/>
      <c r="I60" s="573"/>
      <c r="J60" s="573"/>
      <c r="K60" s="573"/>
      <c r="L60" s="573"/>
      <c r="M60" s="573"/>
      <c r="N60" s="574"/>
      <c r="O60" s="316" t="s">
        <v>213</v>
      </c>
      <c r="P60" s="317"/>
      <c r="Q60" s="317"/>
      <c r="R60" s="573"/>
      <c r="S60" s="573"/>
      <c r="T60" s="573"/>
      <c r="U60" s="573"/>
      <c r="V60" s="573"/>
      <c r="W60" s="573"/>
      <c r="X60" s="573"/>
      <c r="Y60" s="574"/>
      <c r="Z60" s="316" t="s">
        <v>214</v>
      </c>
      <c r="AA60" s="317"/>
      <c r="AB60" s="317"/>
      <c r="AC60" s="573" t="str">
        <f>IF('Employee Data Form'!K24="","",UPPER('Employee Data Form'!K24))</f>
        <v>TELANGANA</v>
      </c>
      <c r="AD60" s="573"/>
      <c r="AE60" s="573"/>
      <c r="AF60" s="573"/>
      <c r="AG60" s="573"/>
      <c r="AH60" s="574"/>
      <c r="AL60" s="106"/>
      <c r="AM60" s="96"/>
      <c r="AN60" s="96"/>
      <c r="AO60" s="96"/>
      <c r="AP60" s="96"/>
      <c r="AQ60" s="96"/>
      <c r="AR60" s="96"/>
    </row>
    <row r="61" spans="3:44" s="6" customFormat="1" ht="15" customHeight="1">
      <c r="C61" s="6" t="s">
        <v>798</v>
      </c>
      <c r="AL61" s="106"/>
      <c r="AM61" s="96"/>
      <c r="AN61" s="96"/>
      <c r="AO61" s="96"/>
      <c r="AP61" s="96"/>
      <c r="AQ61" s="96"/>
      <c r="AR61" s="96"/>
    </row>
    <row r="62" spans="3:44" s="6" customFormat="1" ht="15" customHeight="1">
      <c r="C62" s="589" t="str">
        <f>'Employee Data Form'!C29</f>
        <v>7-1-632/79/1/A BAAPU NAGAR .SR NAGAR500038</v>
      </c>
      <c r="D62" s="590"/>
      <c r="E62" s="590"/>
      <c r="F62" s="590"/>
      <c r="G62" s="590"/>
      <c r="H62" s="590"/>
      <c r="I62" s="590"/>
      <c r="J62" s="590"/>
      <c r="K62" s="590"/>
      <c r="L62" s="590"/>
      <c r="M62" s="590"/>
      <c r="N62" s="590"/>
      <c r="O62" s="590"/>
      <c r="P62" s="590"/>
      <c r="Q62" s="590"/>
      <c r="R62" s="590"/>
      <c r="S62" s="590"/>
      <c r="T62" s="590"/>
      <c r="U62" s="590"/>
      <c r="V62" s="590"/>
      <c r="W62" s="590"/>
      <c r="X62" s="590"/>
      <c r="Y62" s="590"/>
      <c r="Z62" s="590"/>
      <c r="AA62" s="590"/>
      <c r="AB62" s="590"/>
      <c r="AC62" s="590"/>
      <c r="AD62" s="590"/>
      <c r="AE62" s="590"/>
      <c r="AF62" s="590"/>
      <c r="AG62" s="590"/>
      <c r="AH62" s="591"/>
      <c r="AL62" s="106"/>
      <c r="AM62" s="96"/>
      <c r="AN62" s="96"/>
      <c r="AO62" s="96"/>
      <c r="AP62" s="96"/>
      <c r="AQ62" s="96"/>
      <c r="AR62" s="96"/>
    </row>
    <row r="63" spans="3:44" s="6" customFormat="1" ht="15" customHeight="1">
      <c r="C63" s="592"/>
      <c r="D63" s="593"/>
      <c r="E63" s="593"/>
      <c r="F63" s="593"/>
      <c r="G63" s="593"/>
      <c r="H63" s="593"/>
      <c r="I63" s="593"/>
      <c r="J63" s="593"/>
      <c r="K63" s="593"/>
      <c r="L63" s="593"/>
      <c r="M63" s="593"/>
      <c r="N63" s="593"/>
      <c r="O63" s="593"/>
      <c r="P63" s="593"/>
      <c r="Q63" s="593"/>
      <c r="R63" s="593"/>
      <c r="S63" s="593"/>
      <c r="T63" s="593"/>
      <c r="U63" s="593"/>
      <c r="V63" s="593"/>
      <c r="W63" s="593"/>
      <c r="X63" s="593"/>
      <c r="Y63" s="593"/>
      <c r="Z63" s="593"/>
      <c r="AA63" s="593"/>
      <c r="AB63" s="593"/>
      <c r="AC63" s="593"/>
      <c r="AD63" s="593"/>
      <c r="AE63" s="593"/>
      <c r="AF63" s="593"/>
      <c r="AG63" s="593"/>
      <c r="AH63" s="594"/>
      <c r="AL63" s="106"/>
      <c r="AM63" s="96"/>
      <c r="AN63" s="96"/>
      <c r="AO63" s="96"/>
      <c r="AP63" s="96"/>
      <c r="AQ63" s="96"/>
      <c r="AR63" s="96"/>
    </row>
    <row r="64" spans="3:44" s="6" customFormat="1" ht="15" customHeight="1">
      <c r="AL64" s="106"/>
      <c r="AM64" s="96"/>
      <c r="AN64" s="96"/>
      <c r="AO64" s="96"/>
      <c r="AP64" s="96"/>
      <c r="AQ64" s="96"/>
      <c r="AR64" s="96"/>
    </row>
    <row r="65" spans="3:44" s="6" customFormat="1" ht="20.100000000000001" customHeight="1">
      <c r="C65" s="316" t="s">
        <v>49</v>
      </c>
      <c r="D65" s="317"/>
      <c r="E65" s="317"/>
      <c r="F65" s="573" t="str">
        <f>IF('Employee Data Form'!AA218="","",UPPER('Employee Data Form'!AA218))</f>
        <v/>
      </c>
      <c r="G65" s="573"/>
      <c r="H65" s="573"/>
      <c r="I65" s="573"/>
      <c r="J65" s="573"/>
      <c r="K65" s="573"/>
      <c r="L65" s="573"/>
      <c r="M65" s="573"/>
      <c r="N65" s="574"/>
      <c r="U65" s="39"/>
      <c r="V65" s="39"/>
      <c r="W65" s="39"/>
      <c r="X65" s="39"/>
      <c r="Y65" s="39"/>
      <c r="Z65" s="39"/>
      <c r="AA65" s="39"/>
      <c r="AB65" s="39"/>
      <c r="AC65" s="39"/>
      <c r="AD65" s="39"/>
      <c r="AE65" s="39"/>
      <c r="AF65" s="39"/>
      <c r="AG65" s="39"/>
      <c r="AH65" s="39"/>
      <c r="AL65" s="106"/>
      <c r="AM65" s="96"/>
      <c r="AN65" s="96"/>
      <c r="AO65" s="96"/>
      <c r="AP65" s="96"/>
      <c r="AQ65" s="96"/>
      <c r="AR65" s="96"/>
    </row>
    <row r="66" spans="3:44" s="6" customFormat="1" ht="20.100000000000001" customHeight="1">
      <c r="C66" s="575" t="s">
        <v>26</v>
      </c>
      <c r="D66" s="576"/>
      <c r="E66" s="576"/>
      <c r="F66" s="577" t="str">
        <f ca="1">'Employee Data Form'!H218</f>
        <v>30-NOV-2022</v>
      </c>
      <c r="G66" s="577"/>
      <c r="H66" s="577"/>
      <c r="I66" s="577"/>
      <c r="J66" s="577"/>
      <c r="K66" s="577"/>
      <c r="L66" s="577"/>
      <c r="M66" s="577"/>
      <c r="N66" s="578"/>
      <c r="T66" s="154">
        <v>5</v>
      </c>
      <c r="U66" s="579" t="s">
        <v>215</v>
      </c>
      <c r="V66" s="579"/>
      <c r="W66" s="579"/>
      <c r="X66" s="579"/>
      <c r="Y66" s="579"/>
      <c r="Z66" s="579"/>
      <c r="AA66" s="579"/>
      <c r="AB66" s="579"/>
      <c r="AC66" s="579"/>
      <c r="AD66" s="579"/>
      <c r="AE66" s="579"/>
      <c r="AF66" s="579"/>
      <c r="AG66" s="579"/>
      <c r="AH66" s="579"/>
      <c r="AL66" s="106"/>
      <c r="AM66" s="96"/>
      <c r="AN66" s="96"/>
      <c r="AO66" s="96"/>
      <c r="AP66" s="96"/>
      <c r="AQ66" s="96"/>
      <c r="AR66" s="96"/>
    </row>
    <row r="67" spans="3:44" s="6" customFormat="1" ht="15" customHeight="1">
      <c r="AL67" s="106"/>
      <c r="AM67" s="96"/>
      <c r="AN67" s="96"/>
      <c r="AO67" s="96"/>
      <c r="AP67" s="96"/>
      <c r="AQ67" s="96"/>
      <c r="AR67" s="96"/>
    </row>
    <row r="68" spans="3:44" s="6" customFormat="1" ht="15" customHeight="1">
      <c r="AL68" s="106"/>
      <c r="AM68" s="96"/>
      <c r="AN68" s="96"/>
      <c r="AO68" s="96"/>
      <c r="AP68" s="96"/>
      <c r="AQ68" s="96"/>
      <c r="AR68" s="96"/>
    </row>
    <row r="69" spans="3:44" s="6" customFormat="1" ht="20.100000000000001" customHeight="1">
      <c r="N69" s="14"/>
      <c r="O69" s="7"/>
      <c r="R69" s="54" t="s">
        <v>64</v>
      </c>
      <c r="AL69" s="106"/>
      <c r="AM69" s="96"/>
      <c r="AN69" s="96"/>
      <c r="AO69" s="96"/>
      <c r="AP69" s="96"/>
      <c r="AQ69" s="96"/>
      <c r="AR69" s="96"/>
    </row>
    <row r="70" spans="3:44" s="6" customFormat="1" ht="15" customHeight="1">
      <c r="C70" s="74"/>
      <c r="D70" s="75" t="s">
        <v>216</v>
      </c>
      <c r="E70" s="75"/>
      <c r="F70" s="75"/>
      <c r="G70" s="75"/>
      <c r="H70" s="75"/>
      <c r="I70" s="75"/>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6"/>
      <c r="AL70" s="106"/>
      <c r="AM70" s="96"/>
      <c r="AN70" s="96"/>
      <c r="AO70" s="96"/>
      <c r="AP70" s="96"/>
      <c r="AQ70" s="96"/>
      <c r="AR70" s="96"/>
    </row>
    <row r="71" spans="3:44" s="6" customFormat="1" ht="15" customHeight="1">
      <c r="C71" s="7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66"/>
      <c r="AL71" s="106"/>
      <c r="AM71" s="96"/>
      <c r="AN71" s="96"/>
      <c r="AO71" s="96"/>
      <c r="AP71" s="96"/>
      <c r="AQ71" s="96"/>
      <c r="AR71" s="96"/>
    </row>
    <row r="72" spans="3:44" s="6" customFormat="1" ht="15" customHeight="1">
      <c r="C72" s="77"/>
      <c r="D72" s="7" t="s">
        <v>65</v>
      </c>
      <c r="E72" s="7"/>
      <c r="F72" s="7"/>
      <c r="G72" s="7"/>
      <c r="H72" s="7"/>
      <c r="I72" s="7"/>
      <c r="J72" s="7"/>
      <c r="K72" s="7"/>
      <c r="L72" s="7"/>
      <c r="M72" s="7"/>
      <c r="N72" s="7"/>
      <c r="O72" s="7"/>
      <c r="P72" s="7"/>
      <c r="Q72" s="7"/>
      <c r="R72" s="7"/>
      <c r="S72" s="7"/>
      <c r="T72" s="7"/>
      <c r="U72" s="7"/>
      <c r="V72" s="7"/>
      <c r="W72" s="7"/>
      <c r="X72" s="7"/>
      <c r="Y72" s="7"/>
      <c r="Z72" s="7"/>
      <c r="AA72" s="7" t="s">
        <v>68</v>
      </c>
      <c r="AB72" s="7"/>
      <c r="AC72" s="7"/>
      <c r="AD72" s="7"/>
      <c r="AE72" s="7"/>
      <c r="AF72" s="7"/>
      <c r="AG72" s="7"/>
      <c r="AH72" s="66"/>
      <c r="AL72" s="106"/>
      <c r="AM72" s="96"/>
      <c r="AN72" s="96"/>
      <c r="AO72" s="96"/>
      <c r="AP72" s="96"/>
      <c r="AQ72" s="96"/>
      <c r="AR72" s="96"/>
    </row>
    <row r="73" spans="3:44" s="6" customFormat="1" ht="15" customHeight="1">
      <c r="C73" s="7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66"/>
      <c r="AL73" s="106"/>
      <c r="AM73" s="96"/>
      <c r="AN73" s="96"/>
      <c r="AO73" s="96"/>
      <c r="AP73" s="96"/>
      <c r="AQ73" s="96"/>
      <c r="AR73" s="96"/>
    </row>
    <row r="74" spans="3:44" s="6" customFormat="1" ht="15" customHeight="1">
      <c r="C74" s="77"/>
      <c r="D74" s="7" t="s">
        <v>32</v>
      </c>
      <c r="E74" s="580"/>
      <c r="F74" s="580"/>
      <c r="G74" s="580"/>
      <c r="H74" s="580"/>
      <c r="I74" s="580"/>
      <c r="J74" s="580"/>
      <c r="K74" s="580"/>
      <c r="L74" s="580"/>
      <c r="M74" s="580"/>
      <c r="N74" s="580"/>
      <c r="O74" s="580"/>
      <c r="P74" s="580"/>
      <c r="Q74" s="580"/>
      <c r="R74" s="580"/>
      <c r="S74" s="580"/>
      <c r="T74" s="580"/>
      <c r="U74" s="580"/>
      <c r="V74" s="580"/>
      <c r="W74" s="580"/>
      <c r="X74" s="7"/>
      <c r="Y74" s="7" t="s">
        <v>32</v>
      </c>
      <c r="Z74" s="7"/>
      <c r="AA74" s="7"/>
      <c r="AB74" s="7"/>
      <c r="AC74" s="7"/>
      <c r="AD74" s="7"/>
      <c r="AE74" s="7"/>
      <c r="AF74" s="7"/>
      <c r="AG74" s="7"/>
      <c r="AH74" s="66"/>
      <c r="AL74" s="106"/>
      <c r="AM74" s="96"/>
      <c r="AN74" s="96"/>
      <c r="AO74" s="96"/>
      <c r="AP74" s="96"/>
      <c r="AQ74" s="96"/>
      <c r="AR74" s="96"/>
    </row>
    <row r="75" spans="3:44" s="6" customFormat="1" ht="15" customHeight="1">
      <c r="C75" s="77"/>
      <c r="D75" s="78" t="s">
        <v>33</v>
      </c>
      <c r="E75" s="580"/>
      <c r="F75" s="580"/>
      <c r="G75" s="580"/>
      <c r="H75" s="580"/>
      <c r="I75" s="580"/>
      <c r="J75" s="580"/>
      <c r="K75" s="580"/>
      <c r="L75" s="580"/>
      <c r="M75" s="580"/>
      <c r="N75" s="580"/>
      <c r="O75" s="580"/>
      <c r="P75" s="580"/>
      <c r="Q75" s="580"/>
      <c r="R75" s="580"/>
      <c r="S75" s="580"/>
      <c r="T75" s="580"/>
      <c r="U75" s="580"/>
      <c r="V75" s="580"/>
      <c r="W75" s="580"/>
      <c r="X75" s="7"/>
      <c r="Y75" s="7" t="s">
        <v>33</v>
      </c>
      <c r="Z75" s="7"/>
      <c r="AA75" s="7"/>
      <c r="AB75" s="7"/>
      <c r="AC75" s="7"/>
      <c r="AD75" s="7"/>
      <c r="AE75" s="7"/>
      <c r="AF75" s="7"/>
      <c r="AG75" s="7"/>
      <c r="AH75" s="66"/>
      <c r="AL75" s="106"/>
      <c r="AM75" s="96"/>
      <c r="AN75" s="96"/>
      <c r="AO75" s="96"/>
      <c r="AP75" s="96"/>
      <c r="AQ75" s="96"/>
      <c r="AR75" s="96"/>
    </row>
    <row r="76" spans="3:44" s="6" customFormat="1" ht="15" customHeight="1">
      <c r="C76" s="7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66"/>
      <c r="AL76" s="106"/>
      <c r="AM76" s="96"/>
      <c r="AN76" s="96"/>
      <c r="AO76" s="96"/>
      <c r="AP76" s="96"/>
      <c r="AQ76" s="96"/>
      <c r="AR76" s="96"/>
    </row>
    <row r="77" spans="3:44" s="6" customFormat="1" ht="15" customHeight="1">
      <c r="C77" s="79"/>
      <c r="D77" s="80" t="s">
        <v>66</v>
      </c>
      <c r="E77" s="39"/>
      <c r="F77" s="39"/>
      <c r="G77" s="445" t="str">
        <f>IF('Provident Fund'!E79="","",UPPER('Provident Fund'!E79))</f>
        <v/>
      </c>
      <c r="H77" s="445"/>
      <c r="I77" s="445"/>
      <c r="J77" s="445"/>
      <c r="K77" s="445"/>
      <c r="L77" s="445"/>
      <c r="M77" s="445"/>
      <c r="N77" s="445"/>
      <c r="O77" s="445"/>
      <c r="P77" s="445"/>
      <c r="Q77" s="39"/>
      <c r="R77" s="39"/>
      <c r="S77" s="150" t="s">
        <v>67</v>
      </c>
      <c r="T77" s="39"/>
      <c r="U77" s="445" t="str">
        <f ca="1">'Employee Data Form'!H218</f>
        <v>30-NOV-2022</v>
      </c>
      <c r="V77" s="445"/>
      <c r="W77" s="445"/>
      <c r="X77" s="445"/>
      <c r="Y77" s="445"/>
      <c r="Z77" s="445"/>
      <c r="AA77" s="25"/>
      <c r="AB77" s="25"/>
      <c r="AC77" s="25"/>
      <c r="AD77" s="25"/>
      <c r="AE77" s="81"/>
      <c r="AF77" s="81"/>
      <c r="AG77" s="39"/>
      <c r="AH77" s="82"/>
      <c r="AL77" s="106"/>
      <c r="AM77" s="96"/>
      <c r="AN77" s="96"/>
      <c r="AO77" s="96"/>
      <c r="AP77" s="96"/>
      <c r="AQ77" s="96"/>
      <c r="AR77" s="96"/>
    </row>
    <row r="78" spans="3:44" s="6" customFormat="1" ht="15" customHeight="1">
      <c r="AL78" s="106"/>
      <c r="AM78" s="96"/>
      <c r="AN78" s="96"/>
      <c r="AO78" s="96"/>
      <c r="AP78" s="96"/>
      <c r="AQ78" s="96"/>
      <c r="AR78" s="96"/>
    </row>
    <row r="79" spans="3:44" s="6" customFormat="1" ht="20.100000000000001" customHeight="1">
      <c r="N79" s="14"/>
      <c r="O79" s="14"/>
      <c r="R79" s="54" t="s">
        <v>69</v>
      </c>
      <c r="AL79" s="106"/>
      <c r="AM79" s="96"/>
      <c r="AN79" s="96"/>
      <c r="AO79" s="96"/>
      <c r="AP79" s="96"/>
      <c r="AQ79" s="96"/>
      <c r="AR79" s="96"/>
    </row>
    <row r="80" spans="3:44" s="6" customFormat="1" ht="15" customHeight="1">
      <c r="C80" s="7" t="s">
        <v>217</v>
      </c>
      <c r="D80" s="7"/>
      <c r="E80" s="7"/>
      <c r="F80" s="7"/>
      <c r="G80" s="7"/>
      <c r="H80" s="7"/>
      <c r="I80" s="7"/>
      <c r="J80" s="7"/>
      <c r="K80" s="7"/>
      <c r="L80" s="7"/>
      <c r="M80" s="7"/>
      <c r="AL80" s="106"/>
      <c r="AM80" s="96"/>
      <c r="AN80" s="96"/>
      <c r="AO80" s="96"/>
      <c r="AP80" s="96"/>
      <c r="AQ80" s="96"/>
      <c r="AR80" s="96"/>
    </row>
    <row r="81" spans="1:44" s="6" customFormat="1" ht="15" customHeight="1">
      <c r="C81" s="7" t="s">
        <v>218</v>
      </c>
      <c r="D81" s="7"/>
      <c r="E81" s="7"/>
      <c r="F81" s="7"/>
      <c r="G81" s="7"/>
      <c r="AL81" s="13"/>
      <c r="AM81" s="98"/>
      <c r="AN81" s="96"/>
      <c r="AO81" s="96"/>
      <c r="AP81" s="96"/>
      <c r="AQ81" s="96"/>
      <c r="AR81" s="96"/>
    </row>
    <row r="82" spans="1:44" s="6" customFormat="1" ht="15" customHeight="1">
      <c r="AL82" s="106"/>
      <c r="AM82" s="96"/>
      <c r="AN82" s="96"/>
      <c r="AO82" s="96"/>
      <c r="AP82" s="96"/>
      <c r="AQ82" s="96"/>
      <c r="AR82" s="96"/>
    </row>
    <row r="83" spans="1:44" s="6" customFormat="1" ht="15" customHeight="1">
      <c r="C83" s="582" t="s">
        <v>248</v>
      </c>
      <c r="D83" s="579"/>
      <c r="E83" s="579"/>
      <c r="F83" s="579"/>
      <c r="G83" s="579"/>
      <c r="H83" s="579"/>
      <c r="I83" s="579"/>
      <c r="J83" s="579"/>
      <c r="K83" s="579"/>
      <c r="L83" s="579"/>
      <c r="M83" s="579"/>
      <c r="N83" s="579"/>
      <c r="O83" s="579"/>
      <c r="P83" s="579"/>
      <c r="Q83" s="579"/>
      <c r="R83" s="579"/>
      <c r="S83" s="579"/>
      <c r="T83" s="579"/>
      <c r="U83" s="583"/>
      <c r="AL83" s="106"/>
      <c r="AM83" s="96"/>
      <c r="AN83" s="96"/>
      <c r="AO83" s="96"/>
      <c r="AP83" s="96"/>
      <c r="AQ83" s="96"/>
      <c r="AR83" s="96"/>
    </row>
    <row r="84" spans="1:44" s="6" customFormat="1" ht="15" customHeight="1">
      <c r="C84" s="584"/>
      <c r="D84" s="585"/>
      <c r="E84" s="585"/>
      <c r="F84" s="585"/>
      <c r="G84" s="585"/>
      <c r="H84" s="585"/>
      <c r="I84" s="585"/>
      <c r="J84" s="585"/>
      <c r="K84" s="585"/>
      <c r="L84" s="585"/>
      <c r="M84" s="585"/>
      <c r="N84" s="585"/>
      <c r="O84" s="585"/>
      <c r="P84" s="585"/>
      <c r="Q84" s="585"/>
      <c r="R84" s="585"/>
      <c r="S84" s="585"/>
      <c r="T84" s="585"/>
      <c r="U84" s="586"/>
      <c r="AL84" s="106"/>
      <c r="AM84" s="96"/>
      <c r="AN84" s="96"/>
      <c r="AO84" s="96"/>
      <c r="AP84" s="96"/>
      <c r="AQ84" s="96"/>
      <c r="AR84" s="96"/>
    </row>
    <row r="85" spans="1:44" s="6" customFormat="1" ht="15" customHeight="1">
      <c r="C85" s="584"/>
      <c r="D85" s="585"/>
      <c r="E85" s="585"/>
      <c r="F85" s="585"/>
      <c r="G85" s="585"/>
      <c r="H85" s="585"/>
      <c r="I85" s="585"/>
      <c r="J85" s="585"/>
      <c r="K85" s="585"/>
      <c r="L85" s="585"/>
      <c r="M85" s="585"/>
      <c r="N85" s="585"/>
      <c r="O85" s="585"/>
      <c r="P85" s="585"/>
      <c r="Q85" s="585"/>
      <c r="R85" s="585"/>
      <c r="S85" s="585"/>
      <c r="T85" s="585"/>
      <c r="U85" s="586"/>
      <c r="W85" s="39"/>
      <c r="X85" s="39"/>
      <c r="Y85" s="39"/>
      <c r="Z85" s="39"/>
      <c r="AA85" s="39"/>
      <c r="AB85" s="39"/>
      <c r="AC85" s="39"/>
      <c r="AD85" s="39"/>
      <c r="AE85" s="39"/>
      <c r="AF85" s="39"/>
      <c r="AG85" s="39"/>
      <c r="AH85" s="39"/>
      <c r="AI85" s="39"/>
      <c r="AL85" s="106"/>
      <c r="AM85" s="96"/>
      <c r="AN85" s="96"/>
      <c r="AO85" s="96"/>
      <c r="AP85" s="96"/>
      <c r="AQ85" s="96"/>
      <c r="AR85" s="96"/>
    </row>
    <row r="86" spans="1:44" s="6" customFormat="1" ht="15" customHeight="1">
      <c r="C86" s="584"/>
      <c r="D86" s="585"/>
      <c r="E86" s="585"/>
      <c r="F86" s="585"/>
      <c r="G86" s="585"/>
      <c r="H86" s="585"/>
      <c r="I86" s="585"/>
      <c r="J86" s="585"/>
      <c r="K86" s="585"/>
      <c r="L86" s="585"/>
      <c r="M86" s="585"/>
      <c r="N86" s="585"/>
      <c r="O86" s="585"/>
      <c r="P86" s="585"/>
      <c r="Q86" s="585"/>
      <c r="R86" s="585"/>
      <c r="S86" s="585"/>
      <c r="T86" s="585"/>
      <c r="U86" s="586"/>
      <c r="W86" s="6" t="s">
        <v>114</v>
      </c>
      <c r="AL86" s="106"/>
      <c r="AM86" s="96"/>
      <c r="AN86" s="96"/>
      <c r="AO86" s="96"/>
      <c r="AP86" s="96"/>
      <c r="AQ86" s="96"/>
      <c r="AR86" s="96"/>
    </row>
    <row r="87" spans="1:44" s="6" customFormat="1" ht="15" customHeight="1">
      <c r="C87" s="587"/>
      <c r="D87" s="445"/>
      <c r="E87" s="445"/>
      <c r="F87" s="445"/>
      <c r="G87" s="445"/>
      <c r="H87" s="445"/>
      <c r="I87" s="445"/>
      <c r="J87" s="445"/>
      <c r="K87" s="445"/>
      <c r="L87" s="445"/>
      <c r="M87" s="445"/>
      <c r="N87" s="445"/>
      <c r="O87" s="445"/>
      <c r="P87" s="445"/>
      <c r="Q87" s="445"/>
      <c r="R87" s="445"/>
      <c r="S87" s="445"/>
      <c r="T87" s="445"/>
      <c r="U87" s="588"/>
      <c r="AL87" s="106"/>
      <c r="AM87" s="96"/>
      <c r="AN87" s="96"/>
      <c r="AO87" s="96"/>
      <c r="AP87" s="96"/>
      <c r="AQ87" s="96"/>
      <c r="AR87" s="96"/>
    </row>
    <row r="88" spans="1:44" s="6" customFormat="1" ht="15" customHeight="1">
      <c r="C88" s="6" t="s">
        <v>220</v>
      </c>
      <c r="E88" s="444" t="str">
        <f ca="1">'Employee Data Form'!H218</f>
        <v>30-NOV-2022</v>
      </c>
      <c r="F88" s="444"/>
      <c r="G88" s="444"/>
      <c r="H88" s="444"/>
      <c r="I88" s="444"/>
      <c r="J88" s="444"/>
      <c r="K88" s="106"/>
      <c r="L88" s="106"/>
      <c r="M88" s="106"/>
      <c r="N88" s="83"/>
      <c r="O88" s="83"/>
      <c r="W88" s="6" t="s">
        <v>219</v>
      </c>
      <c r="AA88" s="581"/>
      <c r="AB88" s="581"/>
      <c r="AC88" s="581"/>
      <c r="AD88" s="581"/>
      <c r="AE88" s="581"/>
      <c r="AF88" s="581"/>
      <c r="AG88" s="581"/>
      <c r="AH88" s="581"/>
      <c r="AL88" s="106"/>
      <c r="AM88" s="96"/>
      <c r="AN88" s="96"/>
      <c r="AO88" s="96"/>
      <c r="AP88" s="96"/>
      <c r="AQ88" s="96"/>
      <c r="AR88" s="96"/>
    </row>
    <row r="89" spans="1:44" s="6" customFormat="1" ht="15" customHeight="1">
      <c r="A89" s="39"/>
      <c r="B89" s="39"/>
      <c r="C89" s="39"/>
      <c r="D89" s="39"/>
      <c r="E89" s="39"/>
      <c r="F89" s="39"/>
      <c r="G89" s="39"/>
      <c r="H89" s="39"/>
      <c r="I89" s="39"/>
      <c r="J89" s="39"/>
      <c r="K89" s="39"/>
      <c r="L89" s="39"/>
      <c r="M89" s="39"/>
      <c r="N89" s="39"/>
      <c r="O89" s="39"/>
      <c r="P89" s="39"/>
      <c r="Q89" s="39"/>
      <c r="R89" s="39"/>
      <c r="S89" s="39"/>
      <c r="T89" s="39"/>
      <c r="U89" s="39"/>
      <c r="V89" s="39"/>
      <c r="W89" s="39"/>
      <c r="X89" s="39"/>
      <c r="Y89" s="39"/>
      <c r="Z89" s="39"/>
      <c r="AA89" s="39"/>
      <c r="AB89" s="39"/>
      <c r="AC89" s="39"/>
      <c r="AD89" s="39"/>
      <c r="AE89" s="39"/>
      <c r="AF89" s="39"/>
      <c r="AG89" s="39"/>
      <c r="AH89" s="39"/>
      <c r="AI89" s="39"/>
      <c r="AJ89" s="39"/>
      <c r="AL89" s="106"/>
      <c r="AM89" s="96"/>
      <c r="AN89" s="96"/>
      <c r="AO89" s="96"/>
      <c r="AP89" s="96"/>
      <c r="AQ89" s="96"/>
      <c r="AR89" s="96"/>
    </row>
    <row r="90" spans="1:44" s="6" customFormat="1" ht="15" customHeight="1">
      <c r="J90" s="14"/>
      <c r="K90" s="14"/>
      <c r="L90" s="7"/>
      <c r="M90" s="7"/>
      <c r="R90" s="54" t="s">
        <v>70</v>
      </c>
      <c r="AL90" s="106"/>
      <c r="AM90" s="96"/>
      <c r="AN90" s="96"/>
      <c r="AO90" s="96"/>
      <c r="AP90" s="96"/>
      <c r="AQ90" s="96"/>
      <c r="AR90" s="96"/>
    </row>
    <row r="91" spans="1:44" s="6" customFormat="1" ht="15" customHeight="1">
      <c r="C91" s="7" t="s">
        <v>222</v>
      </c>
      <c r="D91" s="7"/>
      <c r="E91" s="7"/>
      <c r="F91" s="7"/>
      <c r="G91" s="7"/>
      <c r="H91" s="7"/>
      <c r="I91" s="7"/>
      <c r="AL91" s="106"/>
      <c r="AM91" s="96"/>
      <c r="AN91" s="96"/>
      <c r="AO91" s="96"/>
      <c r="AP91" s="96"/>
      <c r="AQ91" s="96"/>
      <c r="AR91" s="96"/>
    </row>
    <row r="92" spans="1:44" s="6" customFormat="1" ht="15" customHeight="1">
      <c r="AL92" s="106"/>
      <c r="AM92" s="96"/>
      <c r="AN92" s="96"/>
      <c r="AO92" s="96"/>
      <c r="AP92" s="96"/>
      <c r="AQ92" s="96"/>
      <c r="AR92" s="96"/>
    </row>
    <row r="93" spans="1:44" s="6" customFormat="1" ht="15" customHeight="1">
      <c r="AL93" s="106"/>
      <c r="AM93" s="96"/>
      <c r="AN93" s="96"/>
      <c r="AO93" s="96"/>
      <c r="AP93" s="96"/>
      <c r="AQ93" s="96"/>
      <c r="AR93" s="96"/>
    </row>
    <row r="94" spans="1:44" s="6" customFormat="1" ht="15" customHeight="1">
      <c r="Z94" s="39"/>
      <c r="AA94" s="39"/>
      <c r="AB94" s="39"/>
      <c r="AC94" s="39"/>
      <c r="AD94" s="39"/>
      <c r="AE94" s="39"/>
      <c r="AF94" s="39"/>
      <c r="AG94" s="39"/>
      <c r="AH94" s="39"/>
      <c r="AL94" s="106"/>
      <c r="AM94" s="96"/>
      <c r="AN94" s="96"/>
      <c r="AO94" s="96"/>
      <c r="AP94" s="96"/>
      <c r="AQ94" s="96"/>
      <c r="AR94" s="96"/>
    </row>
    <row r="95" spans="1:44" s="6" customFormat="1" ht="15" customHeight="1">
      <c r="B95" s="7"/>
      <c r="C95" s="6" t="s">
        <v>85</v>
      </c>
      <c r="Y95" s="154">
        <v>6</v>
      </c>
      <c r="Z95" s="572" t="s">
        <v>221</v>
      </c>
      <c r="AA95" s="572"/>
      <c r="AB95" s="572"/>
      <c r="AC95" s="572"/>
      <c r="AD95" s="572"/>
      <c r="AE95" s="572"/>
      <c r="AF95" s="572"/>
      <c r="AG95" s="572"/>
      <c r="AH95" s="572"/>
      <c r="AL95" s="106"/>
      <c r="AM95" s="96"/>
      <c r="AN95" s="96"/>
      <c r="AO95" s="96"/>
      <c r="AP95" s="96"/>
      <c r="AQ95" s="96"/>
      <c r="AR95" s="96"/>
    </row>
    <row r="96" spans="1:44" s="6" customFormat="1" ht="15" customHeight="1">
      <c r="B96" s="7"/>
      <c r="C96" s="84" t="s">
        <v>223</v>
      </c>
      <c r="D96" s="84"/>
      <c r="E96" s="8"/>
      <c r="F96" s="8"/>
      <c r="G96" s="8"/>
      <c r="H96" s="8"/>
      <c r="I96" s="8"/>
      <c r="J96" s="8"/>
      <c r="K96" s="8"/>
      <c r="L96" s="8"/>
      <c r="M96" s="8"/>
      <c r="N96" s="8"/>
      <c r="O96" s="8"/>
      <c r="P96" s="8"/>
      <c r="Q96" s="8"/>
      <c r="R96" s="8"/>
      <c r="S96" s="8"/>
      <c r="T96" s="8"/>
      <c r="U96" s="8"/>
      <c r="V96" s="8"/>
      <c r="W96" s="8"/>
      <c r="X96" s="8"/>
      <c r="Y96" s="8"/>
      <c r="Z96" s="8"/>
      <c r="AA96" s="8"/>
      <c r="AB96" s="8"/>
      <c r="AC96" s="8"/>
      <c r="AD96" s="8"/>
      <c r="AE96" s="8"/>
      <c r="AF96" s="8"/>
      <c r="AG96" s="8"/>
      <c r="AH96" s="8"/>
      <c r="AI96" s="8"/>
      <c r="AL96" s="106"/>
      <c r="AM96" s="96"/>
      <c r="AN96" s="96"/>
      <c r="AO96" s="96"/>
      <c r="AP96" s="96"/>
      <c r="AQ96" s="96"/>
      <c r="AR96" s="96"/>
    </row>
    <row r="97" spans="1:44" s="6" customFormat="1" ht="15" customHeight="1">
      <c r="AL97" s="106"/>
      <c r="AM97" s="96"/>
      <c r="AN97" s="96"/>
      <c r="AO97" s="96"/>
      <c r="AP97" s="96"/>
      <c r="AQ97" s="96"/>
      <c r="AR97" s="96"/>
    </row>
    <row r="98" spans="1:44" s="6" customFormat="1" ht="15" customHeight="1">
      <c r="R98" s="20">
        <v>12</v>
      </c>
      <c r="AL98" s="106"/>
      <c r="AM98" s="96"/>
      <c r="AN98" s="96"/>
      <c r="AO98" s="96"/>
      <c r="AP98" s="96"/>
      <c r="AQ98" s="96"/>
      <c r="AR98" s="96"/>
    </row>
    <row r="99" spans="1:44" s="6" customFormat="1" ht="15" hidden="1" customHeight="1">
      <c r="AL99" s="106"/>
      <c r="AM99" s="96"/>
      <c r="AN99" s="96"/>
      <c r="AO99" s="96"/>
      <c r="AP99" s="96"/>
      <c r="AQ99" s="96"/>
      <c r="AR99" s="96"/>
    </row>
    <row r="100" spans="1:44" s="6" customFormat="1" ht="15" hidden="1" customHeight="1">
      <c r="A100" s="106"/>
      <c r="B100" s="106"/>
      <c r="C100" s="106"/>
      <c r="D100" s="106"/>
      <c r="E100" s="106"/>
      <c r="F100" s="106"/>
      <c r="G100" s="106"/>
      <c r="H100" s="106"/>
      <c r="I100" s="106"/>
      <c r="J100" s="106"/>
      <c r="K100" s="106"/>
      <c r="L100" s="106"/>
      <c r="M100" s="106"/>
      <c r="N100" s="106"/>
      <c r="O100" s="106"/>
      <c r="P100" s="106"/>
      <c r="Q100" s="106"/>
      <c r="R100" s="106"/>
      <c r="S100" s="106"/>
      <c r="T100" s="106"/>
      <c r="U100" s="106"/>
      <c r="V100" s="106"/>
      <c r="W100" s="106"/>
      <c r="X100" s="106"/>
      <c r="Y100" s="106"/>
      <c r="Z100" s="106"/>
      <c r="AA100" s="106"/>
      <c r="AB100" s="106"/>
      <c r="AC100" s="106"/>
      <c r="AD100" s="106"/>
      <c r="AE100" s="106"/>
      <c r="AF100" s="106"/>
      <c r="AG100" s="106"/>
      <c r="AH100" s="106"/>
      <c r="AI100" s="106"/>
      <c r="AJ100" s="106"/>
      <c r="AL100" s="106"/>
      <c r="AM100" s="96"/>
      <c r="AN100" s="96"/>
      <c r="AO100" s="96"/>
      <c r="AP100" s="96"/>
      <c r="AQ100" s="96"/>
      <c r="AR100" s="96"/>
    </row>
    <row r="101" spans="1:44" s="6" customFormat="1" ht="15" hidden="1" customHeight="1">
      <c r="A101" s="106"/>
      <c r="B101" s="106"/>
      <c r="C101" s="106"/>
      <c r="D101" s="106"/>
      <c r="E101" s="106"/>
      <c r="F101" s="106"/>
      <c r="G101" s="106"/>
      <c r="H101" s="106"/>
      <c r="I101" s="106"/>
      <c r="J101" s="106"/>
      <c r="K101" s="106"/>
      <c r="L101" s="106"/>
      <c r="M101" s="106"/>
      <c r="N101" s="106"/>
      <c r="O101" s="106"/>
      <c r="P101" s="106"/>
      <c r="Q101" s="106"/>
      <c r="R101" s="106"/>
      <c r="S101" s="106"/>
      <c r="T101" s="106"/>
      <c r="U101" s="106"/>
      <c r="V101" s="106"/>
      <c r="W101" s="106"/>
      <c r="X101" s="106"/>
      <c r="Y101" s="106"/>
      <c r="Z101" s="106"/>
      <c r="AA101" s="106"/>
      <c r="AB101" s="106"/>
      <c r="AC101" s="106"/>
      <c r="AD101" s="106"/>
      <c r="AE101" s="106"/>
      <c r="AF101" s="106"/>
      <c r="AG101" s="106"/>
      <c r="AH101" s="106"/>
      <c r="AI101" s="106"/>
      <c r="AJ101" s="106"/>
      <c r="AL101" s="106"/>
      <c r="AM101" s="96"/>
      <c r="AN101" s="96"/>
      <c r="AO101" s="96"/>
      <c r="AP101" s="96"/>
      <c r="AQ101" s="96"/>
      <c r="AR101" s="96"/>
    </row>
    <row r="102" spans="1:44" s="6" customFormat="1" ht="15" hidden="1" customHeight="1">
      <c r="A102" s="106"/>
      <c r="B102" s="106"/>
      <c r="C102" s="106"/>
      <c r="D102" s="106"/>
      <c r="E102" s="106"/>
      <c r="F102" s="106"/>
      <c r="G102" s="106"/>
      <c r="H102" s="106"/>
      <c r="I102" s="106"/>
      <c r="J102" s="106"/>
      <c r="K102" s="106"/>
      <c r="L102" s="106"/>
      <c r="M102" s="106"/>
      <c r="N102" s="106"/>
      <c r="O102" s="106"/>
      <c r="P102" s="106"/>
      <c r="Q102" s="106"/>
      <c r="R102" s="106"/>
      <c r="S102" s="106"/>
      <c r="T102" s="106"/>
      <c r="U102" s="106"/>
      <c r="V102" s="106"/>
      <c r="W102" s="106"/>
      <c r="X102" s="106"/>
      <c r="Y102" s="106"/>
      <c r="Z102" s="106"/>
      <c r="AA102" s="106"/>
      <c r="AB102" s="106"/>
      <c r="AC102" s="106"/>
      <c r="AD102" s="106"/>
      <c r="AE102" s="106"/>
      <c r="AF102" s="106"/>
      <c r="AG102" s="106"/>
      <c r="AH102" s="106"/>
      <c r="AI102" s="106"/>
      <c r="AJ102" s="106"/>
      <c r="AL102" s="106"/>
      <c r="AM102" s="96"/>
      <c r="AN102" s="96"/>
      <c r="AO102" s="96"/>
      <c r="AP102" s="96"/>
      <c r="AQ102" s="96"/>
      <c r="AR102" s="96"/>
    </row>
    <row r="103" spans="1:44" s="6" customFormat="1" ht="15" hidden="1" customHeight="1">
      <c r="A103" s="106"/>
      <c r="B103" s="106"/>
      <c r="C103" s="106"/>
      <c r="D103" s="106"/>
      <c r="E103" s="106"/>
      <c r="F103" s="106"/>
      <c r="G103" s="106"/>
      <c r="H103" s="106"/>
      <c r="I103" s="106"/>
      <c r="J103" s="106"/>
      <c r="K103" s="106"/>
      <c r="L103" s="106"/>
      <c r="M103" s="106"/>
      <c r="N103" s="106"/>
      <c r="O103" s="106"/>
      <c r="P103" s="106"/>
      <c r="Q103" s="106"/>
      <c r="R103" s="106"/>
      <c r="S103" s="106"/>
      <c r="T103" s="106"/>
      <c r="U103" s="106"/>
      <c r="V103" s="106"/>
      <c r="W103" s="106"/>
      <c r="X103" s="106"/>
      <c r="Y103" s="106"/>
      <c r="Z103" s="106"/>
      <c r="AA103" s="106"/>
      <c r="AB103" s="106"/>
      <c r="AC103" s="106"/>
      <c r="AD103" s="106"/>
      <c r="AE103" s="106"/>
      <c r="AF103" s="106"/>
      <c r="AG103" s="106"/>
      <c r="AH103" s="106"/>
      <c r="AI103" s="106"/>
      <c r="AJ103" s="106"/>
      <c r="AL103" s="106"/>
      <c r="AM103" s="96"/>
      <c r="AN103" s="96"/>
      <c r="AO103" s="96"/>
      <c r="AP103" s="96"/>
      <c r="AQ103" s="96"/>
      <c r="AR103" s="96"/>
    </row>
    <row r="104" spans="1:44" s="6" customFormat="1" ht="15" hidden="1" customHeight="1">
      <c r="A104" s="106"/>
      <c r="B104" s="106"/>
      <c r="C104" s="106"/>
      <c r="D104" s="106"/>
      <c r="E104" s="106"/>
      <c r="F104" s="106"/>
      <c r="G104" s="106"/>
      <c r="H104" s="106"/>
      <c r="I104" s="106"/>
      <c r="J104" s="106"/>
      <c r="K104" s="106"/>
      <c r="L104" s="106"/>
      <c r="M104" s="106"/>
      <c r="N104" s="106"/>
      <c r="O104" s="106"/>
      <c r="P104" s="106"/>
      <c r="Q104" s="106"/>
      <c r="R104" s="106"/>
      <c r="S104" s="106"/>
      <c r="T104" s="106"/>
      <c r="U104" s="106"/>
      <c r="V104" s="106"/>
      <c r="W104" s="106"/>
      <c r="X104" s="106"/>
      <c r="Y104" s="106"/>
      <c r="Z104" s="106"/>
      <c r="AA104" s="106"/>
      <c r="AB104" s="106"/>
      <c r="AC104" s="106"/>
      <c r="AD104" s="106"/>
      <c r="AE104" s="106"/>
      <c r="AF104" s="106"/>
      <c r="AG104" s="106"/>
      <c r="AH104" s="106"/>
      <c r="AI104" s="106"/>
      <c r="AJ104" s="106"/>
      <c r="AL104" s="106"/>
      <c r="AM104" s="96"/>
      <c r="AN104" s="96"/>
      <c r="AO104" s="96"/>
      <c r="AP104" s="96"/>
      <c r="AQ104" s="96"/>
      <c r="AR104" s="96"/>
    </row>
    <row r="106" spans="1:44" ht="20.100000000000001" hidden="1" customHeight="1"/>
    <row r="113" spans="1:44" ht="15" hidden="1" customHeight="1">
      <c r="AK113" s="43"/>
    </row>
    <row r="114" spans="1:44" ht="30" hidden="1" customHeight="1"/>
    <row r="115" spans="1:44" ht="30" hidden="1" customHeight="1"/>
    <row r="116" spans="1:44" ht="30" hidden="1" customHeight="1"/>
    <row r="117" spans="1:44" ht="30" hidden="1" customHeight="1"/>
    <row r="118" spans="1:44" ht="30" hidden="1" customHeight="1"/>
    <row r="119" spans="1:44" ht="30" hidden="1" customHeight="1"/>
    <row r="120" spans="1:44" ht="30" hidden="1" customHeight="1"/>
    <row r="122" spans="1:44" ht="30" hidden="1" customHeight="1"/>
    <row r="124" spans="1:44" ht="30" hidden="1" customHeight="1"/>
    <row r="126" spans="1:44" s="6" customFormat="1" ht="15" hidden="1" customHeight="1">
      <c r="A126" s="106"/>
      <c r="B126" s="106"/>
      <c r="C126" s="106"/>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06"/>
      <c r="AB126" s="106"/>
      <c r="AC126" s="106"/>
      <c r="AD126" s="106"/>
      <c r="AE126" s="106"/>
      <c r="AF126" s="106"/>
      <c r="AG126" s="106"/>
      <c r="AH126" s="106"/>
      <c r="AI126" s="106"/>
      <c r="AJ126" s="106"/>
      <c r="AM126" s="96"/>
      <c r="AN126" s="96"/>
      <c r="AO126" s="96"/>
      <c r="AP126" s="96"/>
      <c r="AQ126" s="96"/>
      <c r="AR126" s="96"/>
    </row>
    <row r="127" spans="1:44" s="6" customFormat="1" ht="15" hidden="1" customHeight="1">
      <c r="A127" s="106"/>
      <c r="B127" s="106"/>
      <c r="C127" s="106"/>
      <c r="D127" s="106"/>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6"/>
      <c r="AA127" s="106"/>
      <c r="AB127" s="106"/>
      <c r="AC127" s="106"/>
      <c r="AD127" s="106"/>
      <c r="AE127" s="106"/>
      <c r="AF127" s="106"/>
      <c r="AG127" s="106"/>
      <c r="AH127" s="106"/>
      <c r="AI127" s="106"/>
      <c r="AJ127" s="106"/>
      <c r="AM127" s="96"/>
      <c r="AN127" s="96"/>
      <c r="AO127" s="96"/>
      <c r="AP127" s="96"/>
      <c r="AQ127" s="96"/>
      <c r="AR127" s="96"/>
    </row>
    <row r="128" spans="1:44" s="6" customFormat="1" ht="15" hidden="1" customHeight="1">
      <c r="A128" s="106"/>
      <c r="B128" s="106"/>
      <c r="C128" s="106"/>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6"/>
      <c r="Z128" s="106"/>
      <c r="AA128" s="106"/>
      <c r="AB128" s="106"/>
      <c r="AC128" s="106"/>
      <c r="AD128" s="106"/>
      <c r="AE128" s="106"/>
      <c r="AF128" s="106"/>
      <c r="AG128" s="106"/>
      <c r="AH128" s="106"/>
      <c r="AI128" s="106"/>
      <c r="AJ128" s="106"/>
      <c r="AM128" s="96"/>
      <c r="AN128" s="96"/>
      <c r="AO128" s="96"/>
      <c r="AP128" s="96"/>
      <c r="AQ128" s="96"/>
      <c r="AR128" s="96"/>
    </row>
    <row r="129" spans="1:44" s="6" customFormat="1" ht="15" hidden="1" customHeight="1">
      <c r="A129" s="106"/>
      <c r="B129" s="106"/>
      <c r="C129" s="106"/>
      <c r="D129" s="106"/>
      <c r="E129" s="106"/>
      <c r="F129" s="106"/>
      <c r="G129" s="106"/>
      <c r="H129" s="106"/>
      <c r="I129" s="106"/>
      <c r="J129" s="106"/>
      <c r="K129" s="106"/>
      <c r="L129" s="106"/>
      <c r="M129" s="106"/>
      <c r="N129" s="106"/>
      <c r="O129" s="106"/>
      <c r="P129" s="106"/>
      <c r="Q129" s="106"/>
      <c r="R129" s="106"/>
      <c r="S129" s="106"/>
      <c r="T129" s="106"/>
      <c r="U129" s="106"/>
      <c r="V129" s="106"/>
      <c r="W129" s="106"/>
      <c r="X129" s="106"/>
      <c r="Y129" s="106"/>
      <c r="Z129" s="106"/>
      <c r="AA129" s="106"/>
      <c r="AB129" s="106"/>
      <c r="AC129" s="106"/>
      <c r="AD129" s="106"/>
      <c r="AE129" s="106"/>
      <c r="AF129" s="106"/>
      <c r="AG129" s="106"/>
      <c r="AH129" s="106"/>
      <c r="AI129" s="106"/>
      <c r="AJ129" s="106"/>
      <c r="AM129" s="96"/>
      <c r="AN129" s="96"/>
      <c r="AO129" s="96"/>
      <c r="AP129" s="96"/>
      <c r="AQ129" s="96"/>
      <c r="AR129" s="96"/>
    </row>
    <row r="130" spans="1:44" s="6" customFormat="1" ht="15" hidden="1" customHeight="1">
      <c r="A130" s="106"/>
      <c r="B130" s="106"/>
      <c r="C130" s="106"/>
      <c r="D130" s="106"/>
      <c r="E130" s="106"/>
      <c r="F130" s="106"/>
      <c r="G130" s="106"/>
      <c r="H130" s="106"/>
      <c r="I130" s="106"/>
      <c r="J130" s="106"/>
      <c r="K130" s="106"/>
      <c r="L130" s="106"/>
      <c r="M130" s="106"/>
      <c r="N130" s="106"/>
      <c r="O130" s="106"/>
      <c r="P130" s="106"/>
      <c r="Q130" s="106"/>
      <c r="R130" s="106"/>
      <c r="S130" s="106"/>
      <c r="T130" s="106"/>
      <c r="U130" s="106"/>
      <c r="V130" s="106"/>
      <c r="W130" s="106"/>
      <c r="X130" s="106"/>
      <c r="Y130" s="106"/>
      <c r="Z130" s="106"/>
      <c r="AA130" s="106"/>
      <c r="AB130" s="106"/>
      <c r="AC130" s="106"/>
      <c r="AD130" s="106"/>
      <c r="AE130" s="106"/>
      <c r="AF130" s="106"/>
      <c r="AG130" s="106"/>
      <c r="AH130" s="106"/>
      <c r="AI130" s="106"/>
      <c r="AJ130" s="106"/>
      <c r="AM130" s="96"/>
      <c r="AN130" s="96"/>
      <c r="AO130" s="96"/>
      <c r="AP130" s="96"/>
      <c r="AQ130" s="96"/>
      <c r="AR130" s="96"/>
    </row>
    <row r="131" spans="1:44" s="6" customFormat="1" ht="15" hidden="1" customHeight="1">
      <c r="A131" s="106"/>
      <c r="B131" s="106"/>
      <c r="C131" s="106"/>
      <c r="D131" s="106"/>
      <c r="E131" s="106"/>
      <c r="F131" s="106"/>
      <c r="G131" s="106"/>
      <c r="H131" s="106"/>
      <c r="I131" s="106"/>
      <c r="J131" s="106"/>
      <c r="K131" s="106"/>
      <c r="L131" s="106"/>
      <c r="M131" s="106"/>
      <c r="N131" s="106"/>
      <c r="O131" s="106"/>
      <c r="P131" s="106"/>
      <c r="Q131" s="106"/>
      <c r="R131" s="106"/>
      <c r="S131" s="106"/>
      <c r="T131" s="106"/>
      <c r="U131" s="106"/>
      <c r="V131" s="106"/>
      <c r="W131" s="106"/>
      <c r="X131" s="106"/>
      <c r="Y131" s="106"/>
      <c r="Z131" s="106"/>
      <c r="AA131" s="106"/>
      <c r="AB131" s="106"/>
      <c r="AC131" s="106"/>
      <c r="AD131" s="106"/>
      <c r="AE131" s="106"/>
      <c r="AF131" s="106"/>
      <c r="AG131" s="106"/>
      <c r="AH131" s="106"/>
      <c r="AI131" s="106"/>
      <c r="AJ131" s="106"/>
      <c r="AM131" s="96"/>
      <c r="AN131" s="96"/>
      <c r="AO131" s="96"/>
      <c r="AP131" s="96"/>
      <c r="AQ131" s="96"/>
      <c r="AR131" s="96"/>
    </row>
    <row r="132" spans="1:44" s="6" customFormat="1" ht="15" hidden="1" customHeight="1">
      <c r="A132" s="106"/>
      <c r="B132" s="106"/>
      <c r="C132" s="106"/>
      <c r="D132" s="106"/>
      <c r="E132" s="106"/>
      <c r="F132" s="106"/>
      <c r="G132" s="106"/>
      <c r="H132" s="106"/>
      <c r="I132" s="106"/>
      <c r="J132" s="106"/>
      <c r="K132" s="106"/>
      <c r="L132" s="106"/>
      <c r="M132" s="106"/>
      <c r="N132" s="106"/>
      <c r="O132" s="106"/>
      <c r="P132" s="106"/>
      <c r="Q132" s="106"/>
      <c r="R132" s="106"/>
      <c r="S132" s="106"/>
      <c r="T132" s="106"/>
      <c r="U132" s="106"/>
      <c r="V132" s="106"/>
      <c r="W132" s="106"/>
      <c r="X132" s="106"/>
      <c r="Y132" s="106"/>
      <c r="Z132" s="106"/>
      <c r="AA132" s="106"/>
      <c r="AB132" s="106"/>
      <c r="AC132" s="106"/>
      <c r="AD132" s="106"/>
      <c r="AE132" s="106"/>
      <c r="AF132" s="106"/>
      <c r="AG132" s="106"/>
      <c r="AH132" s="106"/>
      <c r="AI132" s="106"/>
      <c r="AJ132" s="106"/>
      <c r="AM132" s="96"/>
      <c r="AN132" s="96"/>
      <c r="AO132" s="96"/>
      <c r="AP132" s="96"/>
      <c r="AQ132" s="96"/>
      <c r="AR132" s="96"/>
    </row>
    <row r="133" spans="1:44" s="6" customFormat="1" ht="15" hidden="1" customHeight="1">
      <c r="A133" s="106"/>
      <c r="B133" s="106"/>
      <c r="C133" s="106"/>
      <c r="D133" s="106"/>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c r="AD133" s="106"/>
      <c r="AE133" s="106"/>
      <c r="AF133" s="106"/>
      <c r="AG133" s="106"/>
      <c r="AH133" s="106"/>
      <c r="AI133" s="106"/>
      <c r="AJ133" s="106"/>
      <c r="AM133" s="96"/>
      <c r="AN133" s="96"/>
      <c r="AO133" s="96"/>
      <c r="AP133" s="96"/>
      <c r="AQ133" s="96"/>
      <c r="AR133" s="96"/>
    </row>
    <row r="152" ht="20.100000000000001" hidden="1" customHeight="1"/>
    <row r="159" ht="45" hidden="1" customHeight="1"/>
    <row r="160" ht="30" hidden="1" customHeight="1"/>
    <row r="161" spans="1:44" ht="30" hidden="1" customHeight="1"/>
    <row r="162" spans="1:44" ht="30" hidden="1" customHeight="1"/>
    <row r="163" spans="1:44" ht="30" hidden="1" customHeight="1"/>
    <row r="166" spans="1:44" s="6" customFormat="1" ht="15" hidden="1" customHeight="1">
      <c r="A166" s="106"/>
      <c r="B166" s="106"/>
      <c r="C166" s="106"/>
      <c r="D166" s="106"/>
      <c r="E166" s="106"/>
      <c r="F166" s="106"/>
      <c r="G166" s="106"/>
      <c r="H166" s="106"/>
      <c r="I166" s="106"/>
      <c r="J166" s="106"/>
      <c r="K166" s="106"/>
      <c r="L166" s="106"/>
      <c r="M166" s="106"/>
      <c r="N166" s="106"/>
      <c r="O166" s="106"/>
      <c r="P166" s="106"/>
      <c r="Q166" s="106"/>
      <c r="R166" s="106"/>
      <c r="S166" s="106"/>
      <c r="T166" s="106"/>
      <c r="U166" s="106"/>
      <c r="V166" s="106"/>
      <c r="W166" s="106"/>
      <c r="X166" s="106"/>
      <c r="Y166" s="106"/>
      <c r="Z166" s="106"/>
      <c r="AA166" s="106"/>
      <c r="AB166" s="106"/>
      <c r="AC166" s="106"/>
      <c r="AD166" s="106"/>
      <c r="AE166" s="106"/>
      <c r="AF166" s="106"/>
      <c r="AG166" s="106"/>
      <c r="AH166" s="106"/>
      <c r="AI166" s="106"/>
      <c r="AJ166" s="106"/>
      <c r="AM166" s="96"/>
      <c r="AN166" s="96"/>
      <c r="AO166" s="96"/>
      <c r="AP166" s="96"/>
      <c r="AQ166" s="96"/>
      <c r="AR166" s="96"/>
    </row>
    <row r="167" spans="1:44" s="6" customFormat="1" ht="15" hidden="1" customHeight="1">
      <c r="A167" s="106"/>
      <c r="B167" s="106"/>
      <c r="C167" s="106"/>
      <c r="D167" s="106"/>
      <c r="E167" s="106"/>
      <c r="F167" s="106"/>
      <c r="G167" s="106"/>
      <c r="H167" s="106"/>
      <c r="I167" s="106"/>
      <c r="J167" s="106"/>
      <c r="K167" s="106"/>
      <c r="L167" s="106"/>
      <c r="M167" s="106"/>
      <c r="N167" s="106"/>
      <c r="O167" s="106"/>
      <c r="P167" s="106"/>
      <c r="Q167" s="106"/>
      <c r="R167" s="106"/>
      <c r="S167" s="106"/>
      <c r="T167" s="106"/>
      <c r="U167" s="106"/>
      <c r="V167" s="106"/>
      <c r="W167" s="106"/>
      <c r="X167" s="106"/>
      <c r="Y167" s="106"/>
      <c r="Z167" s="106"/>
      <c r="AA167" s="106"/>
      <c r="AB167" s="106"/>
      <c r="AC167" s="106"/>
      <c r="AD167" s="106"/>
      <c r="AE167" s="106"/>
      <c r="AF167" s="106"/>
      <c r="AG167" s="106"/>
      <c r="AH167" s="106"/>
      <c r="AI167" s="106"/>
      <c r="AJ167" s="106"/>
      <c r="AM167" s="96"/>
      <c r="AN167" s="96"/>
      <c r="AO167" s="96"/>
      <c r="AP167" s="96"/>
      <c r="AQ167" s="96"/>
      <c r="AR167" s="96"/>
    </row>
    <row r="168" spans="1:44" s="6" customFormat="1" ht="15" hidden="1" customHeight="1">
      <c r="A168" s="106"/>
      <c r="B168" s="106"/>
      <c r="C168" s="106"/>
      <c r="D168" s="106"/>
      <c r="E168" s="106"/>
      <c r="F168" s="106"/>
      <c r="G168" s="106"/>
      <c r="H168" s="106"/>
      <c r="I168" s="106"/>
      <c r="J168" s="106"/>
      <c r="K168" s="106"/>
      <c r="L168" s="106"/>
      <c r="M168" s="106"/>
      <c r="N168" s="106"/>
      <c r="O168" s="106"/>
      <c r="P168" s="106"/>
      <c r="Q168" s="106"/>
      <c r="R168" s="106"/>
      <c r="S168" s="106"/>
      <c r="T168" s="106"/>
      <c r="U168" s="106"/>
      <c r="V168" s="106"/>
      <c r="W168" s="106"/>
      <c r="X168" s="106"/>
      <c r="Y168" s="106"/>
      <c r="Z168" s="106"/>
      <c r="AA168" s="106"/>
      <c r="AB168" s="106"/>
      <c r="AC168" s="106"/>
      <c r="AD168" s="106"/>
      <c r="AE168" s="106"/>
      <c r="AF168" s="106"/>
      <c r="AG168" s="106"/>
      <c r="AH168" s="106"/>
      <c r="AI168" s="106"/>
      <c r="AJ168" s="106"/>
      <c r="AM168" s="96"/>
      <c r="AN168" s="96"/>
      <c r="AO168" s="96"/>
      <c r="AP168" s="96"/>
      <c r="AQ168" s="96"/>
      <c r="AR168" s="96"/>
    </row>
    <row r="169" spans="1:44" s="6" customFormat="1" ht="15" hidden="1" customHeight="1">
      <c r="A169" s="106"/>
      <c r="B169" s="106"/>
      <c r="C169" s="106"/>
      <c r="D169" s="106"/>
      <c r="E169" s="106"/>
      <c r="F169" s="106"/>
      <c r="G169" s="106"/>
      <c r="H169" s="106"/>
      <c r="I169" s="106"/>
      <c r="J169" s="106"/>
      <c r="K169" s="106"/>
      <c r="L169" s="106"/>
      <c r="M169" s="106"/>
      <c r="N169" s="106"/>
      <c r="O169" s="106"/>
      <c r="P169" s="106"/>
      <c r="Q169" s="106"/>
      <c r="R169" s="106"/>
      <c r="S169" s="106"/>
      <c r="T169" s="106"/>
      <c r="U169" s="106"/>
      <c r="V169" s="106"/>
      <c r="W169" s="106"/>
      <c r="X169" s="106"/>
      <c r="Y169" s="106"/>
      <c r="Z169" s="106"/>
      <c r="AA169" s="106"/>
      <c r="AB169" s="106"/>
      <c r="AC169" s="106"/>
      <c r="AD169" s="106"/>
      <c r="AE169" s="106"/>
      <c r="AF169" s="106"/>
      <c r="AG169" s="106"/>
      <c r="AH169" s="106"/>
      <c r="AI169" s="106"/>
      <c r="AJ169" s="106"/>
      <c r="AM169" s="96"/>
      <c r="AN169" s="96"/>
      <c r="AO169" s="96"/>
      <c r="AP169" s="96"/>
      <c r="AQ169" s="96"/>
      <c r="AR169" s="96"/>
    </row>
    <row r="170" spans="1:44" s="6" customFormat="1" ht="15" hidden="1" customHeight="1">
      <c r="A170" s="106"/>
      <c r="B170" s="106"/>
      <c r="C170" s="106"/>
      <c r="D170" s="106"/>
      <c r="E170" s="106"/>
      <c r="F170" s="106"/>
      <c r="G170" s="106"/>
      <c r="H170" s="106"/>
      <c r="I170" s="106"/>
      <c r="J170" s="106"/>
      <c r="K170" s="106"/>
      <c r="L170" s="106"/>
      <c r="M170" s="106"/>
      <c r="N170" s="106"/>
      <c r="O170" s="106"/>
      <c r="P170" s="106"/>
      <c r="Q170" s="106"/>
      <c r="R170" s="106"/>
      <c r="S170" s="106"/>
      <c r="T170" s="106"/>
      <c r="U170" s="106"/>
      <c r="V170" s="106"/>
      <c r="W170" s="106"/>
      <c r="X170" s="106"/>
      <c r="Y170" s="106"/>
      <c r="Z170" s="106"/>
      <c r="AA170" s="106"/>
      <c r="AB170" s="106"/>
      <c r="AC170" s="106"/>
      <c r="AD170" s="106"/>
      <c r="AE170" s="106"/>
      <c r="AF170" s="106"/>
      <c r="AG170" s="106"/>
      <c r="AH170" s="106"/>
      <c r="AI170" s="106"/>
      <c r="AJ170" s="106"/>
      <c r="AM170" s="96"/>
      <c r="AN170" s="96"/>
      <c r="AO170" s="96"/>
      <c r="AP170" s="96"/>
      <c r="AQ170" s="96"/>
      <c r="AR170" s="96"/>
    </row>
    <row r="171" spans="1:44" s="6" customFormat="1" ht="15" hidden="1" customHeight="1">
      <c r="A171" s="106"/>
      <c r="B171" s="106"/>
      <c r="C171" s="106"/>
      <c r="D171" s="106"/>
      <c r="E171" s="106"/>
      <c r="F171" s="106"/>
      <c r="G171" s="106"/>
      <c r="H171" s="106"/>
      <c r="I171" s="106"/>
      <c r="J171" s="106"/>
      <c r="K171" s="106"/>
      <c r="L171" s="106"/>
      <c r="M171" s="106"/>
      <c r="N171" s="106"/>
      <c r="O171" s="106"/>
      <c r="P171" s="106"/>
      <c r="Q171" s="106"/>
      <c r="R171" s="106"/>
      <c r="S171" s="106"/>
      <c r="T171" s="106"/>
      <c r="U171" s="106"/>
      <c r="V171" s="106"/>
      <c r="W171" s="106"/>
      <c r="X171" s="106"/>
      <c r="Y171" s="106"/>
      <c r="Z171" s="106"/>
      <c r="AA171" s="106"/>
      <c r="AB171" s="106"/>
      <c r="AC171" s="106"/>
      <c r="AD171" s="106"/>
      <c r="AE171" s="106"/>
      <c r="AF171" s="106"/>
      <c r="AG171" s="106"/>
      <c r="AH171" s="106"/>
      <c r="AI171" s="106"/>
      <c r="AJ171" s="106"/>
      <c r="AM171" s="96"/>
      <c r="AN171" s="96"/>
      <c r="AO171" s="96"/>
      <c r="AP171" s="96"/>
      <c r="AQ171" s="96"/>
      <c r="AR171" s="96"/>
    </row>
    <row r="172" spans="1:44" s="6" customFormat="1" ht="15" hidden="1" customHeight="1">
      <c r="A172" s="106"/>
      <c r="B172" s="106"/>
      <c r="C172" s="106"/>
      <c r="D172" s="106"/>
      <c r="E172" s="106"/>
      <c r="F172" s="106"/>
      <c r="G172" s="106"/>
      <c r="H172" s="106"/>
      <c r="I172" s="106"/>
      <c r="J172" s="106"/>
      <c r="K172" s="106"/>
      <c r="L172" s="106"/>
      <c r="M172" s="106"/>
      <c r="N172" s="106"/>
      <c r="O172" s="106"/>
      <c r="P172" s="106"/>
      <c r="Q172" s="106"/>
      <c r="R172" s="106"/>
      <c r="S172" s="106"/>
      <c r="T172" s="106"/>
      <c r="U172" s="106"/>
      <c r="V172" s="106"/>
      <c r="W172" s="106"/>
      <c r="X172" s="106"/>
      <c r="Y172" s="106"/>
      <c r="Z172" s="106"/>
      <c r="AA172" s="106"/>
      <c r="AB172" s="106"/>
      <c r="AC172" s="106"/>
      <c r="AD172" s="106"/>
      <c r="AE172" s="106"/>
      <c r="AF172" s="106"/>
      <c r="AG172" s="106"/>
      <c r="AH172" s="106"/>
      <c r="AI172" s="106"/>
      <c r="AJ172" s="106"/>
      <c r="AM172" s="96"/>
      <c r="AN172" s="96"/>
      <c r="AO172" s="96"/>
      <c r="AP172" s="96"/>
      <c r="AQ172" s="96"/>
      <c r="AR172" s="96"/>
    </row>
    <row r="173" spans="1:44" s="6" customFormat="1" ht="15" hidden="1" customHeight="1">
      <c r="A173" s="106"/>
      <c r="B173" s="106"/>
      <c r="C173" s="106"/>
      <c r="D173" s="106"/>
      <c r="E173" s="106"/>
      <c r="F173" s="106"/>
      <c r="G173" s="106"/>
      <c r="H173" s="106"/>
      <c r="I173" s="106"/>
      <c r="J173" s="106"/>
      <c r="K173" s="106"/>
      <c r="L173" s="106"/>
      <c r="M173" s="106"/>
      <c r="N173" s="106"/>
      <c r="O173" s="106"/>
      <c r="P173" s="106"/>
      <c r="Q173" s="106"/>
      <c r="R173" s="106"/>
      <c r="S173" s="106"/>
      <c r="T173" s="106"/>
      <c r="U173" s="106"/>
      <c r="V173" s="106"/>
      <c r="W173" s="106"/>
      <c r="X173" s="106"/>
      <c r="Y173" s="106"/>
      <c r="Z173" s="106"/>
      <c r="AA173" s="106"/>
      <c r="AB173" s="106"/>
      <c r="AC173" s="106"/>
      <c r="AD173" s="106"/>
      <c r="AE173" s="106"/>
      <c r="AF173" s="106"/>
      <c r="AG173" s="106"/>
      <c r="AH173" s="106"/>
      <c r="AI173" s="106"/>
      <c r="AJ173" s="106"/>
      <c r="AM173" s="96"/>
      <c r="AN173" s="96"/>
      <c r="AO173" s="96"/>
      <c r="AP173" s="96"/>
      <c r="AQ173" s="96"/>
      <c r="AR173" s="96"/>
    </row>
    <row r="174" spans="1:44" s="6" customFormat="1" ht="15" hidden="1" customHeight="1">
      <c r="A174" s="106"/>
      <c r="B174" s="106"/>
      <c r="C174" s="106"/>
      <c r="D174" s="106"/>
      <c r="E174" s="106"/>
      <c r="F174" s="106"/>
      <c r="G174" s="106"/>
      <c r="H174" s="106"/>
      <c r="I174" s="106"/>
      <c r="J174" s="106"/>
      <c r="K174" s="106"/>
      <c r="L174" s="106"/>
      <c r="M174" s="106"/>
      <c r="N174" s="106"/>
      <c r="O174" s="106"/>
      <c r="P174" s="106"/>
      <c r="Q174" s="106"/>
      <c r="R174" s="106"/>
      <c r="S174" s="106"/>
      <c r="T174" s="106"/>
      <c r="U174" s="106"/>
      <c r="V174" s="106"/>
      <c r="W174" s="106"/>
      <c r="X174" s="106"/>
      <c r="Y174" s="106"/>
      <c r="Z174" s="106"/>
      <c r="AA174" s="106"/>
      <c r="AB174" s="106"/>
      <c r="AC174" s="106"/>
      <c r="AD174" s="106"/>
      <c r="AE174" s="106"/>
      <c r="AF174" s="106"/>
      <c r="AG174" s="106"/>
      <c r="AH174" s="106"/>
      <c r="AI174" s="106"/>
      <c r="AJ174" s="106"/>
      <c r="AM174" s="96"/>
      <c r="AN174" s="96"/>
      <c r="AO174" s="96"/>
      <c r="AP174" s="96"/>
      <c r="AQ174" s="96"/>
      <c r="AR174" s="96"/>
    </row>
    <row r="183" ht="20.100000000000001" hidden="1" customHeight="1"/>
    <row r="184" ht="20.100000000000001" hidden="1" customHeight="1"/>
    <row r="185" ht="20.100000000000001" hidden="1" customHeight="1"/>
    <row r="200" ht="20.100000000000001" hidden="1" customHeight="1"/>
    <row r="254" ht="20.100000000000001" hidden="1" customHeight="1"/>
    <row r="269" ht="14.25" hidden="1" customHeight="1"/>
    <row r="310" spans="1:44" ht="20.100000000000001" hidden="1" customHeight="1">
      <c r="AK310" s="65"/>
    </row>
    <row r="311" spans="1:44" ht="20.100000000000001" hidden="1" customHeight="1">
      <c r="AK311" s="65"/>
    </row>
    <row r="315" spans="1:44" s="6" customFormat="1" ht="15" hidden="1" customHeight="1">
      <c r="A315" s="106"/>
      <c r="B315" s="106"/>
      <c r="C315" s="106"/>
      <c r="D315" s="106"/>
      <c r="E315" s="106"/>
      <c r="F315" s="106"/>
      <c r="G315" s="106"/>
      <c r="H315" s="106"/>
      <c r="I315" s="106"/>
      <c r="J315" s="106"/>
      <c r="K315" s="106"/>
      <c r="L315" s="106"/>
      <c r="M315" s="106"/>
      <c r="N315" s="106"/>
      <c r="O315" s="106"/>
      <c r="P315" s="106"/>
      <c r="Q315" s="106"/>
      <c r="R315" s="106"/>
      <c r="S315" s="106"/>
      <c r="T315" s="106"/>
      <c r="U315" s="106"/>
      <c r="V315" s="106"/>
      <c r="W315" s="106"/>
      <c r="X315" s="106"/>
      <c r="Y315" s="106"/>
      <c r="Z315" s="106"/>
      <c r="AA315" s="106"/>
      <c r="AB315" s="106"/>
      <c r="AC315" s="106"/>
      <c r="AD315" s="106"/>
      <c r="AE315" s="106"/>
      <c r="AF315" s="106"/>
      <c r="AG315" s="106"/>
      <c r="AH315" s="106"/>
      <c r="AI315" s="106"/>
      <c r="AJ315" s="106"/>
      <c r="AM315" s="96"/>
      <c r="AN315" s="96"/>
      <c r="AO315" s="96"/>
      <c r="AP315" s="96"/>
      <c r="AQ315" s="96"/>
      <c r="AR315" s="96"/>
    </row>
    <row r="316" spans="1:44" s="6" customFormat="1" ht="15" hidden="1" customHeight="1">
      <c r="A316" s="106"/>
      <c r="B316" s="106"/>
      <c r="C316" s="106"/>
      <c r="D316" s="106"/>
      <c r="E316" s="106"/>
      <c r="F316" s="106"/>
      <c r="G316" s="106"/>
      <c r="H316" s="106"/>
      <c r="I316" s="106"/>
      <c r="J316" s="106"/>
      <c r="K316" s="106"/>
      <c r="L316" s="106"/>
      <c r="M316" s="106"/>
      <c r="N316" s="106"/>
      <c r="O316" s="106"/>
      <c r="P316" s="106"/>
      <c r="Q316" s="106"/>
      <c r="R316" s="106"/>
      <c r="S316" s="106"/>
      <c r="T316" s="106"/>
      <c r="U316" s="106"/>
      <c r="V316" s="106"/>
      <c r="W316" s="106"/>
      <c r="X316" s="106"/>
      <c r="Y316" s="106"/>
      <c r="Z316" s="106"/>
      <c r="AA316" s="106"/>
      <c r="AB316" s="106"/>
      <c r="AC316" s="106"/>
      <c r="AD316" s="106"/>
      <c r="AE316" s="106"/>
      <c r="AF316" s="106"/>
      <c r="AG316" s="106"/>
      <c r="AH316" s="106"/>
      <c r="AI316" s="106"/>
      <c r="AJ316" s="106"/>
      <c r="AM316" s="96"/>
      <c r="AN316" s="96"/>
      <c r="AO316" s="96"/>
      <c r="AP316" s="96"/>
      <c r="AQ316" s="96"/>
      <c r="AR316" s="96"/>
    </row>
    <row r="317" spans="1:44" s="6" customFormat="1" ht="15" hidden="1" customHeight="1">
      <c r="A317" s="106"/>
      <c r="B317" s="106"/>
      <c r="C317" s="106"/>
      <c r="D317" s="106"/>
      <c r="E317" s="106"/>
      <c r="F317" s="106"/>
      <c r="G317" s="106"/>
      <c r="H317" s="106"/>
      <c r="I317" s="106"/>
      <c r="J317" s="106"/>
      <c r="K317" s="106"/>
      <c r="L317" s="106"/>
      <c r="M317" s="106"/>
      <c r="N317" s="106"/>
      <c r="O317" s="106"/>
      <c r="P317" s="106"/>
      <c r="Q317" s="106"/>
      <c r="R317" s="106"/>
      <c r="S317" s="106"/>
      <c r="T317" s="106"/>
      <c r="U317" s="106"/>
      <c r="V317" s="106"/>
      <c r="W317" s="106"/>
      <c r="X317" s="106"/>
      <c r="Y317" s="106"/>
      <c r="Z317" s="106"/>
      <c r="AA317" s="106"/>
      <c r="AB317" s="106"/>
      <c r="AC317" s="106"/>
      <c r="AD317" s="106"/>
      <c r="AE317" s="106"/>
      <c r="AF317" s="106"/>
      <c r="AG317" s="106"/>
      <c r="AH317" s="106"/>
      <c r="AI317" s="106"/>
      <c r="AJ317" s="106"/>
      <c r="AM317" s="96"/>
      <c r="AN317" s="96"/>
      <c r="AO317" s="96"/>
      <c r="AP317" s="96"/>
      <c r="AQ317" s="96"/>
      <c r="AR317" s="96"/>
    </row>
    <row r="320" spans="1:44" s="6" customFormat="1" ht="15" hidden="1" customHeight="1">
      <c r="A320" s="106"/>
      <c r="B320" s="106"/>
      <c r="C320" s="106"/>
      <c r="D320" s="106"/>
      <c r="E320" s="106"/>
      <c r="F320" s="106"/>
      <c r="G320" s="106"/>
      <c r="H320" s="106"/>
      <c r="I320" s="106"/>
      <c r="J320" s="106"/>
      <c r="K320" s="106"/>
      <c r="L320" s="106"/>
      <c r="M320" s="106"/>
      <c r="N320" s="106"/>
      <c r="O320" s="106"/>
      <c r="P320" s="106"/>
      <c r="Q320" s="106"/>
      <c r="R320" s="106"/>
      <c r="S320" s="106"/>
      <c r="T320" s="106"/>
      <c r="U320" s="106"/>
      <c r="V320" s="106"/>
      <c r="W320" s="106"/>
      <c r="X320" s="106"/>
      <c r="Y320" s="106"/>
      <c r="Z320" s="106"/>
      <c r="AA320" s="106"/>
      <c r="AB320" s="106"/>
      <c r="AC320" s="106"/>
      <c r="AD320" s="106"/>
      <c r="AE320" s="106"/>
      <c r="AF320" s="106"/>
      <c r="AG320" s="106"/>
      <c r="AH320" s="106"/>
      <c r="AI320" s="106"/>
      <c r="AJ320" s="106"/>
      <c r="AM320" s="96"/>
      <c r="AN320" s="96"/>
      <c r="AO320" s="96"/>
      <c r="AP320" s="96"/>
      <c r="AQ320" s="96"/>
      <c r="AR320" s="96"/>
    </row>
    <row r="321" spans="1:44" s="6" customFormat="1" ht="15" hidden="1" customHeight="1">
      <c r="A321" s="106"/>
      <c r="B321" s="106"/>
      <c r="C321" s="106"/>
      <c r="D321" s="106"/>
      <c r="E321" s="106"/>
      <c r="F321" s="106"/>
      <c r="G321" s="106"/>
      <c r="H321" s="106"/>
      <c r="I321" s="106"/>
      <c r="J321" s="106"/>
      <c r="K321" s="106"/>
      <c r="L321" s="106"/>
      <c r="M321" s="106"/>
      <c r="N321" s="106"/>
      <c r="O321" s="106"/>
      <c r="P321" s="106"/>
      <c r="Q321" s="106"/>
      <c r="R321" s="106"/>
      <c r="S321" s="106"/>
      <c r="T321" s="106"/>
      <c r="U321" s="106"/>
      <c r="V321" s="106"/>
      <c r="W321" s="106"/>
      <c r="X321" s="106"/>
      <c r="Y321" s="106"/>
      <c r="Z321" s="106"/>
      <c r="AA321" s="106"/>
      <c r="AB321" s="106"/>
      <c r="AC321" s="106"/>
      <c r="AD321" s="106"/>
      <c r="AE321" s="106"/>
      <c r="AF321" s="106"/>
      <c r="AG321" s="106"/>
      <c r="AH321" s="106"/>
      <c r="AI321" s="106"/>
      <c r="AJ321" s="106"/>
      <c r="AM321" s="96"/>
      <c r="AN321" s="96"/>
      <c r="AO321" s="96"/>
      <c r="AP321" s="96"/>
      <c r="AQ321" s="96"/>
      <c r="AR321" s="96"/>
    </row>
    <row r="322" spans="1:44" s="6" customFormat="1" ht="15" hidden="1" customHeight="1">
      <c r="A322" s="106"/>
      <c r="B322" s="106"/>
      <c r="C322" s="106"/>
      <c r="D322" s="106"/>
      <c r="E322" s="106"/>
      <c r="F322" s="106"/>
      <c r="G322" s="106"/>
      <c r="H322" s="106"/>
      <c r="I322" s="106"/>
      <c r="J322" s="106"/>
      <c r="K322" s="106"/>
      <c r="L322" s="106"/>
      <c r="M322" s="106"/>
      <c r="N322" s="106"/>
      <c r="O322" s="106"/>
      <c r="P322" s="106"/>
      <c r="Q322" s="106"/>
      <c r="R322" s="106"/>
      <c r="S322" s="106"/>
      <c r="T322" s="106"/>
      <c r="U322" s="106"/>
      <c r="V322" s="106"/>
      <c r="W322" s="106"/>
      <c r="X322" s="106"/>
      <c r="Y322" s="106"/>
      <c r="Z322" s="106"/>
      <c r="AA322" s="106"/>
      <c r="AB322" s="106"/>
      <c r="AC322" s="106"/>
      <c r="AD322" s="106"/>
      <c r="AE322" s="106"/>
      <c r="AF322" s="106"/>
      <c r="AG322" s="106"/>
      <c r="AH322" s="106"/>
      <c r="AI322" s="106"/>
      <c r="AJ322" s="106"/>
      <c r="AM322" s="96"/>
      <c r="AN322" s="96"/>
      <c r="AO322" s="96"/>
      <c r="AP322" s="96"/>
      <c r="AQ322" s="96"/>
      <c r="AR322" s="96"/>
    </row>
    <row r="323" spans="1:44" s="6" customFormat="1" ht="15" hidden="1" customHeight="1">
      <c r="A323" s="106"/>
      <c r="B323" s="106"/>
      <c r="C323" s="106"/>
      <c r="D323" s="106"/>
      <c r="E323" s="106"/>
      <c r="F323" s="106"/>
      <c r="G323" s="106"/>
      <c r="H323" s="106"/>
      <c r="I323" s="106"/>
      <c r="J323" s="106"/>
      <c r="K323" s="106"/>
      <c r="L323" s="106"/>
      <c r="M323" s="106"/>
      <c r="N323" s="106"/>
      <c r="O323" s="106"/>
      <c r="P323" s="106"/>
      <c r="Q323" s="106"/>
      <c r="R323" s="106"/>
      <c r="S323" s="106"/>
      <c r="T323" s="106"/>
      <c r="U323" s="106"/>
      <c r="V323" s="106"/>
      <c r="W323" s="106"/>
      <c r="X323" s="106"/>
      <c r="Y323" s="106"/>
      <c r="Z323" s="106"/>
      <c r="AA323" s="106"/>
      <c r="AB323" s="106"/>
      <c r="AC323" s="106"/>
      <c r="AD323" s="106"/>
      <c r="AE323" s="106"/>
      <c r="AF323" s="106"/>
      <c r="AG323" s="106"/>
      <c r="AH323" s="106"/>
      <c r="AI323" s="106"/>
      <c r="AJ323" s="106"/>
      <c r="AM323" s="96"/>
      <c r="AN323" s="96"/>
      <c r="AO323" s="96"/>
      <c r="AP323" s="96"/>
      <c r="AQ323" s="96"/>
      <c r="AR323" s="96"/>
    </row>
    <row r="324" spans="1:44" s="6" customFormat="1" ht="15" hidden="1" customHeight="1">
      <c r="A324" s="106"/>
      <c r="B324" s="106"/>
      <c r="C324" s="106"/>
      <c r="D324" s="106"/>
      <c r="E324" s="106"/>
      <c r="F324" s="106"/>
      <c r="G324" s="106"/>
      <c r="H324" s="106"/>
      <c r="I324" s="106"/>
      <c r="J324" s="106"/>
      <c r="K324" s="106"/>
      <c r="L324" s="106"/>
      <c r="M324" s="106"/>
      <c r="N324" s="106"/>
      <c r="O324" s="106"/>
      <c r="P324" s="106"/>
      <c r="Q324" s="106"/>
      <c r="R324" s="106"/>
      <c r="S324" s="106"/>
      <c r="T324" s="106"/>
      <c r="U324" s="106"/>
      <c r="V324" s="106"/>
      <c r="W324" s="106"/>
      <c r="X324" s="106"/>
      <c r="Y324" s="106"/>
      <c r="Z324" s="106"/>
      <c r="AA324" s="106"/>
      <c r="AB324" s="106"/>
      <c r="AC324" s="106"/>
      <c r="AD324" s="106"/>
      <c r="AE324" s="106"/>
      <c r="AF324" s="106"/>
      <c r="AG324" s="106"/>
      <c r="AH324" s="106"/>
      <c r="AI324" s="106"/>
      <c r="AJ324" s="106"/>
      <c r="AM324" s="96"/>
      <c r="AN324" s="96"/>
      <c r="AO324" s="96"/>
      <c r="AP324" s="96"/>
      <c r="AQ324" s="96"/>
      <c r="AR324" s="96"/>
    </row>
    <row r="327" spans="1:44" s="6" customFormat="1" ht="15" hidden="1" customHeight="1">
      <c r="A327" s="106"/>
      <c r="B327" s="106"/>
      <c r="C327" s="106"/>
      <c r="D327" s="106"/>
      <c r="E327" s="106"/>
      <c r="F327" s="106"/>
      <c r="G327" s="106"/>
      <c r="H327" s="106"/>
      <c r="I327" s="106"/>
      <c r="J327" s="106"/>
      <c r="K327" s="106"/>
      <c r="L327" s="106"/>
      <c r="M327" s="106"/>
      <c r="N327" s="106"/>
      <c r="O327" s="106"/>
      <c r="P327" s="106"/>
      <c r="Q327" s="106"/>
      <c r="R327" s="106"/>
      <c r="S327" s="106"/>
      <c r="T327" s="106"/>
      <c r="U327" s="106"/>
      <c r="V327" s="106"/>
      <c r="W327" s="106"/>
      <c r="X327" s="106"/>
      <c r="Y327" s="106"/>
      <c r="Z327" s="106"/>
      <c r="AA327" s="106"/>
      <c r="AB327" s="106"/>
      <c r="AC327" s="106"/>
      <c r="AD327" s="106"/>
      <c r="AE327" s="106"/>
      <c r="AF327" s="106"/>
      <c r="AG327" s="106"/>
      <c r="AH327" s="106"/>
      <c r="AI327" s="106"/>
      <c r="AJ327" s="106"/>
      <c r="AM327" s="96"/>
      <c r="AN327" s="96"/>
      <c r="AO327" s="96"/>
      <c r="AP327" s="96"/>
      <c r="AQ327" s="96"/>
      <c r="AR327" s="96"/>
    </row>
    <row r="328" spans="1:44" s="6" customFormat="1" ht="15" hidden="1" customHeight="1">
      <c r="A328" s="106"/>
      <c r="B328" s="106"/>
      <c r="C328" s="106"/>
      <c r="D328" s="106"/>
      <c r="E328" s="106"/>
      <c r="F328" s="106"/>
      <c r="G328" s="106"/>
      <c r="H328" s="106"/>
      <c r="I328" s="106"/>
      <c r="J328" s="106"/>
      <c r="K328" s="106"/>
      <c r="L328" s="106"/>
      <c r="M328" s="106"/>
      <c r="N328" s="106"/>
      <c r="O328" s="106"/>
      <c r="P328" s="106"/>
      <c r="Q328" s="106"/>
      <c r="R328" s="106"/>
      <c r="S328" s="106"/>
      <c r="T328" s="106"/>
      <c r="U328" s="106"/>
      <c r="V328" s="106"/>
      <c r="W328" s="106"/>
      <c r="X328" s="106"/>
      <c r="Y328" s="106"/>
      <c r="Z328" s="106"/>
      <c r="AA328" s="106"/>
      <c r="AB328" s="106"/>
      <c r="AC328" s="106"/>
      <c r="AD328" s="106"/>
      <c r="AE328" s="106"/>
      <c r="AF328" s="106"/>
      <c r="AG328" s="106"/>
      <c r="AH328" s="106"/>
      <c r="AI328" s="106"/>
      <c r="AJ328" s="106"/>
      <c r="AM328" s="96"/>
      <c r="AN328" s="96"/>
      <c r="AO328" s="96"/>
      <c r="AP328" s="96"/>
      <c r="AQ328" s="96"/>
      <c r="AR328" s="96"/>
    </row>
    <row r="329" spans="1:44" s="6" customFormat="1" ht="15" hidden="1" customHeight="1">
      <c r="A329" s="106"/>
      <c r="B329" s="106"/>
      <c r="C329" s="106"/>
      <c r="D329" s="106"/>
      <c r="E329" s="106"/>
      <c r="F329" s="106"/>
      <c r="G329" s="106"/>
      <c r="H329" s="106"/>
      <c r="I329" s="106"/>
      <c r="J329" s="106"/>
      <c r="K329" s="106"/>
      <c r="L329" s="106"/>
      <c r="M329" s="106"/>
      <c r="N329" s="106"/>
      <c r="O329" s="106"/>
      <c r="P329" s="106"/>
      <c r="Q329" s="106"/>
      <c r="R329" s="106"/>
      <c r="S329" s="106"/>
      <c r="T329" s="106"/>
      <c r="U329" s="106"/>
      <c r="V329" s="106"/>
      <c r="W329" s="106"/>
      <c r="X329" s="106"/>
      <c r="Y329" s="106"/>
      <c r="Z329" s="106"/>
      <c r="AA329" s="106"/>
      <c r="AB329" s="106"/>
      <c r="AC329" s="106"/>
      <c r="AD329" s="106"/>
      <c r="AE329" s="106"/>
      <c r="AF329" s="106"/>
      <c r="AG329" s="106"/>
      <c r="AH329" s="106"/>
      <c r="AI329" s="106"/>
      <c r="AJ329" s="106"/>
      <c r="AM329" s="96"/>
      <c r="AN329" s="96"/>
      <c r="AO329" s="96"/>
      <c r="AP329" s="96"/>
      <c r="AQ329" s="96"/>
      <c r="AR329" s="96"/>
    </row>
    <row r="330" spans="1:44" s="6" customFormat="1" ht="15" hidden="1" customHeight="1">
      <c r="A330" s="106"/>
      <c r="B330" s="106"/>
      <c r="C330" s="106"/>
      <c r="D330" s="106"/>
      <c r="E330" s="106"/>
      <c r="F330" s="106"/>
      <c r="G330" s="106"/>
      <c r="H330" s="106"/>
      <c r="I330" s="106"/>
      <c r="J330" s="106"/>
      <c r="K330" s="106"/>
      <c r="L330" s="106"/>
      <c r="M330" s="106"/>
      <c r="N330" s="106"/>
      <c r="O330" s="106"/>
      <c r="P330" s="106"/>
      <c r="Q330" s="106"/>
      <c r="R330" s="106"/>
      <c r="S330" s="106"/>
      <c r="T330" s="106"/>
      <c r="U330" s="106"/>
      <c r="V330" s="106"/>
      <c r="W330" s="106"/>
      <c r="X330" s="106"/>
      <c r="Y330" s="106"/>
      <c r="Z330" s="106"/>
      <c r="AA330" s="106"/>
      <c r="AB330" s="106"/>
      <c r="AC330" s="106"/>
      <c r="AD330" s="106"/>
      <c r="AE330" s="106"/>
      <c r="AF330" s="106"/>
      <c r="AG330" s="106"/>
      <c r="AH330" s="106"/>
      <c r="AI330" s="106"/>
      <c r="AJ330" s="106"/>
      <c r="AM330" s="96"/>
      <c r="AN330" s="96"/>
      <c r="AO330" s="96"/>
      <c r="AP330" s="96"/>
      <c r="AQ330" s="96"/>
      <c r="AR330" s="96"/>
    </row>
    <row r="331" spans="1:44" s="6" customFormat="1" ht="15" hidden="1" customHeight="1">
      <c r="A331" s="106"/>
      <c r="B331" s="106"/>
      <c r="C331" s="106"/>
      <c r="D331" s="106"/>
      <c r="E331" s="106"/>
      <c r="F331" s="106"/>
      <c r="G331" s="106"/>
      <c r="H331" s="106"/>
      <c r="I331" s="106"/>
      <c r="J331" s="106"/>
      <c r="K331" s="106"/>
      <c r="L331" s="106"/>
      <c r="M331" s="106"/>
      <c r="N331" s="106"/>
      <c r="O331" s="106"/>
      <c r="P331" s="106"/>
      <c r="Q331" s="106"/>
      <c r="R331" s="106"/>
      <c r="S331" s="106"/>
      <c r="T331" s="106"/>
      <c r="U331" s="106"/>
      <c r="V331" s="106"/>
      <c r="W331" s="106"/>
      <c r="X331" s="106"/>
      <c r="Y331" s="106"/>
      <c r="Z331" s="106"/>
      <c r="AA331" s="106"/>
      <c r="AB331" s="106"/>
      <c r="AC331" s="106"/>
      <c r="AD331" s="106"/>
      <c r="AE331" s="106"/>
      <c r="AF331" s="106"/>
      <c r="AG331" s="106"/>
      <c r="AH331" s="106"/>
      <c r="AI331" s="106"/>
      <c r="AJ331" s="106"/>
      <c r="AM331" s="96"/>
      <c r="AN331" s="96"/>
      <c r="AO331" s="96"/>
      <c r="AP331" s="96"/>
      <c r="AQ331" s="96"/>
      <c r="AR331" s="96"/>
    </row>
    <row r="332" spans="1:44" s="6" customFormat="1" ht="15" hidden="1" customHeight="1">
      <c r="A332" s="106"/>
      <c r="B332" s="106"/>
      <c r="C332" s="106"/>
      <c r="D332" s="106"/>
      <c r="E332" s="106"/>
      <c r="F332" s="106"/>
      <c r="G332" s="106"/>
      <c r="H332" s="106"/>
      <c r="I332" s="106"/>
      <c r="J332" s="106"/>
      <c r="K332" s="106"/>
      <c r="L332" s="106"/>
      <c r="M332" s="106"/>
      <c r="N332" s="106"/>
      <c r="O332" s="106"/>
      <c r="P332" s="106"/>
      <c r="Q332" s="106"/>
      <c r="R332" s="106"/>
      <c r="S332" s="106"/>
      <c r="T332" s="106"/>
      <c r="U332" s="106"/>
      <c r="V332" s="106"/>
      <c r="W332" s="106"/>
      <c r="X332" s="106"/>
      <c r="Y332" s="106"/>
      <c r="Z332" s="106"/>
      <c r="AA332" s="106"/>
      <c r="AB332" s="106"/>
      <c r="AC332" s="106"/>
      <c r="AD332" s="106"/>
      <c r="AE332" s="106"/>
      <c r="AF332" s="106"/>
      <c r="AG332" s="106"/>
      <c r="AH332" s="106"/>
      <c r="AI332" s="106"/>
      <c r="AJ332" s="106"/>
      <c r="AM332" s="96"/>
      <c r="AN332" s="96"/>
      <c r="AO332" s="96"/>
      <c r="AP332" s="96"/>
      <c r="AQ332" s="96"/>
      <c r="AR332" s="96"/>
    </row>
    <row r="336" spans="1:44" s="6" customFormat="1" ht="15" hidden="1" customHeight="1">
      <c r="A336" s="106"/>
      <c r="B336" s="106"/>
      <c r="C336" s="106"/>
      <c r="D336" s="106"/>
      <c r="E336" s="106"/>
      <c r="F336" s="106"/>
      <c r="G336" s="106"/>
      <c r="H336" s="106"/>
      <c r="I336" s="106"/>
      <c r="J336" s="106"/>
      <c r="K336" s="106"/>
      <c r="L336" s="106"/>
      <c r="M336" s="106"/>
      <c r="N336" s="106"/>
      <c r="O336" s="106"/>
      <c r="P336" s="106"/>
      <c r="Q336" s="106"/>
      <c r="R336" s="106"/>
      <c r="S336" s="106"/>
      <c r="T336" s="106"/>
      <c r="U336" s="106"/>
      <c r="V336" s="106"/>
      <c r="W336" s="106"/>
      <c r="X336" s="106"/>
      <c r="Y336" s="106"/>
      <c r="Z336" s="106"/>
      <c r="AA336" s="106"/>
      <c r="AB336" s="106"/>
      <c r="AC336" s="106"/>
      <c r="AD336" s="106"/>
      <c r="AE336" s="106"/>
      <c r="AF336" s="106"/>
      <c r="AG336" s="106"/>
      <c r="AH336" s="106"/>
      <c r="AI336" s="106"/>
      <c r="AJ336" s="106"/>
      <c r="AM336" s="96"/>
      <c r="AN336" s="96"/>
      <c r="AO336" s="96"/>
      <c r="AP336" s="96"/>
      <c r="AQ336" s="96"/>
      <c r="AR336" s="96"/>
    </row>
    <row r="337" spans="1:44" s="6" customFormat="1" ht="15" hidden="1" customHeight="1">
      <c r="A337" s="106"/>
      <c r="B337" s="106"/>
      <c r="C337" s="106"/>
      <c r="D337" s="106"/>
      <c r="E337" s="106"/>
      <c r="F337" s="106"/>
      <c r="G337" s="106"/>
      <c r="H337" s="106"/>
      <c r="I337" s="106"/>
      <c r="J337" s="106"/>
      <c r="K337" s="106"/>
      <c r="L337" s="106"/>
      <c r="M337" s="106"/>
      <c r="N337" s="106"/>
      <c r="O337" s="106"/>
      <c r="P337" s="106"/>
      <c r="Q337" s="106"/>
      <c r="R337" s="106"/>
      <c r="S337" s="106"/>
      <c r="T337" s="106"/>
      <c r="U337" s="106"/>
      <c r="V337" s="106"/>
      <c r="W337" s="106"/>
      <c r="X337" s="106"/>
      <c r="Y337" s="106"/>
      <c r="Z337" s="106"/>
      <c r="AA337" s="106"/>
      <c r="AB337" s="106"/>
      <c r="AC337" s="106"/>
      <c r="AD337" s="106"/>
      <c r="AE337" s="106"/>
      <c r="AF337" s="106"/>
      <c r="AG337" s="106"/>
      <c r="AH337" s="106"/>
      <c r="AI337" s="106"/>
      <c r="AJ337" s="106"/>
      <c r="AM337" s="96"/>
      <c r="AN337" s="96"/>
      <c r="AO337" s="96"/>
      <c r="AP337" s="96"/>
      <c r="AQ337" s="96"/>
      <c r="AR337" s="96"/>
    </row>
    <row r="338" spans="1:44" s="6" customFormat="1" ht="15" hidden="1" customHeight="1">
      <c r="A338" s="106"/>
      <c r="B338" s="106"/>
      <c r="C338" s="106"/>
      <c r="D338" s="106"/>
      <c r="E338" s="106"/>
      <c r="F338" s="106"/>
      <c r="G338" s="106"/>
      <c r="H338" s="106"/>
      <c r="I338" s="106"/>
      <c r="J338" s="106"/>
      <c r="K338" s="106"/>
      <c r="L338" s="106"/>
      <c r="M338" s="106"/>
      <c r="N338" s="106"/>
      <c r="O338" s="106"/>
      <c r="P338" s="106"/>
      <c r="Q338" s="106"/>
      <c r="R338" s="106"/>
      <c r="S338" s="106"/>
      <c r="T338" s="106"/>
      <c r="U338" s="106"/>
      <c r="V338" s="106"/>
      <c r="W338" s="106"/>
      <c r="X338" s="106"/>
      <c r="Y338" s="106"/>
      <c r="Z338" s="106"/>
      <c r="AA338" s="106"/>
      <c r="AB338" s="106"/>
      <c r="AC338" s="106"/>
      <c r="AD338" s="106"/>
      <c r="AE338" s="106"/>
      <c r="AF338" s="106"/>
      <c r="AG338" s="106"/>
      <c r="AH338" s="106"/>
      <c r="AI338" s="106"/>
      <c r="AJ338" s="106"/>
      <c r="AM338" s="96"/>
      <c r="AN338" s="96"/>
      <c r="AO338" s="96"/>
      <c r="AP338" s="96"/>
      <c r="AQ338" s="96"/>
      <c r="AR338" s="96"/>
    </row>
    <row r="339" spans="1:44" s="6" customFormat="1" ht="15" hidden="1" customHeight="1">
      <c r="A339" s="106"/>
      <c r="B339" s="106"/>
      <c r="C339" s="106"/>
      <c r="D339" s="106"/>
      <c r="E339" s="106"/>
      <c r="F339" s="106"/>
      <c r="G339" s="106"/>
      <c r="H339" s="106"/>
      <c r="I339" s="106"/>
      <c r="J339" s="106"/>
      <c r="K339" s="106"/>
      <c r="L339" s="106"/>
      <c r="M339" s="106"/>
      <c r="N339" s="106"/>
      <c r="O339" s="106"/>
      <c r="P339" s="106"/>
      <c r="Q339" s="106"/>
      <c r="R339" s="106"/>
      <c r="S339" s="106"/>
      <c r="T339" s="106"/>
      <c r="U339" s="106"/>
      <c r="V339" s="106"/>
      <c r="W339" s="106"/>
      <c r="X339" s="106"/>
      <c r="Y339" s="106"/>
      <c r="Z339" s="106"/>
      <c r="AA339" s="106"/>
      <c r="AB339" s="106"/>
      <c r="AC339" s="106"/>
      <c r="AD339" s="106"/>
      <c r="AE339" s="106"/>
      <c r="AF339" s="106"/>
      <c r="AG339" s="106"/>
      <c r="AH339" s="106"/>
      <c r="AI339" s="106"/>
      <c r="AJ339" s="106"/>
      <c r="AM339" s="96"/>
      <c r="AN339" s="96"/>
      <c r="AO339" s="96"/>
      <c r="AP339" s="96"/>
      <c r="AQ339" s="96"/>
      <c r="AR339" s="96"/>
    </row>
    <row r="340" spans="1:44" s="6" customFormat="1" ht="15" hidden="1" customHeight="1">
      <c r="A340" s="106"/>
      <c r="B340" s="106"/>
      <c r="C340" s="106"/>
      <c r="D340" s="106"/>
      <c r="E340" s="106"/>
      <c r="F340" s="106"/>
      <c r="G340" s="106"/>
      <c r="H340" s="106"/>
      <c r="I340" s="106"/>
      <c r="J340" s="106"/>
      <c r="K340" s="106"/>
      <c r="L340" s="106"/>
      <c r="M340" s="106"/>
      <c r="N340" s="106"/>
      <c r="O340" s="106"/>
      <c r="P340" s="106"/>
      <c r="Q340" s="106"/>
      <c r="R340" s="106"/>
      <c r="S340" s="106"/>
      <c r="T340" s="106"/>
      <c r="U340" s="106"/>
      <c r="V340" s="106"/>
      <c r="W340" s="106"/>
      <c r="X340" s="106"/>
      <c r="Y340" s="106"/>
      <c r="Z340" s="106"/>
      <c r="AA340" s="106"/>
      <c r="AB340" s="106"/>
      <c r="AC340" s="106"/>
      <c r="AD340" s="106"/>
      <c r="AE340" s="106"/>
      <c r="AF340" s="106"/>
      <c r="AG340" s="106"/>
      <c r="AH340" s="106"/>
      <c r="AI340" s="106"/>
      <c r="AJ340" s="106"/>
      <c r="AM340" s="96"/>
      <c r="AN340" s="96"/>
      <c r="AO340" s="96"/>
      <c r="AP340" s="96"/>
      <c r="AQ340" s="96"/>
      <c r="AR340" s="96"/>
    </row>
    <row r="341" spans="1:44" s="6" customFormat="1" ht="15" hidden="1" customHeight="1">
      <c r="A341" s="106"/>
      <c r="B341" s="106"/>
      <c r="C341" s="106"/>
      <c r="D341" s="106"/>
      <c r="E341" s="106"/>
      <c r="F341" s="106"/>
      <c r="G341" s="106"/>
      <c r="H341" s="106"/>
      <c r="I341" s="106"/>
      <c r="J341" s="106"/>
      <c r="K341" s="106"/>
      <c r="L341" s="106"/>
      <c r="M341" s="106"/>
      <c r="N341" s="106"/>
      <c r="O341" s="106"/>
      <c r="P341" s="106"/>
      <c r="Q341" s="106"/>
      <c r="R341" s="106"/>
      <c r="S341" s="106"/>
      <c r="T341" s="106"/>
      <c r="U341" s="106"/>
      <c r="V341" s="106"/>
      <c r="W341" s="106"/>
      <c r="X341" s="106"/>
      <c r="Y341" s="106"/>
      <c r="Z341" s="106"/>
      <c r="AA341" s="106"/>
      <c r="AB341" s="106"/>
      <c r="AC341" s="106"/>
      <c r="AD341" s="106"/>
      <c r="AE341" s="106"/>
      <c r="AF341" s="106"/>
      <c r="AG341" s="106"/>
      <c r="AH341" s="106"/>
      <c r="AI341" s="106"/>
      <c r="AJ341" s="106"/>
      <c r="AM341" s="96"/>
      <c r="AN341" s="96"/>
      <c r="AO341" s="96"/>
      <c r="AP341" s="96"/>
      <c r="AQ341" s="96"/>
      <c r="AR341" s="96"/>
    </row>
    <row r="342" spans="1:44" s="6" customFormat="1" ht="15" hidden="1" customHeight="1">
      <c r="A342" s="106"/>
      <c r="B342" s="106"/>
      <c r="C342" s="106"/>
      <c r="D342" s="106"/>
      <c r="E342" s="106"/>
      <c r="F342" s="106"/>
      <c r="G342" s="106"/>
      <c r="H342" s="106"/>
      <c r="I342" s="106"/>
      <c r="J342" s="106"/>
      <c r="K342" s="106"/>
      <c r="L342" s="106"/>
      <c r="M342" s="106"/>
      <c r="N342" s="106"/>
      <c r="O342" s="106"/>
      <c r="P342" s="106"/>
      <c r="Q342" s="106"/>
      <c r="R342" s="106"/>
      <c r="S342" s="106"/>
      <c r="T342" s="106"/>
      <c r="U342" s="106"/>
      <c r="V342" s="106"/>
      <c r="W342" s="106"/>
      <c r="X342" s="106"/>
      <c r="Y342" s="106"/>
      <c r="Z342" s="106"/>
      <c r="AA342" s="106"/>
      <c r="AB342" s="106"/>
      <c r="AC342" s="106"/>
      <c r="AD342" s="106"/>
      <c r="AE342" s="106"/>
      <c r="AF342" s="106"/>
      <c r="AG342" s="106"/>
      <c r="AH342" s="106"/>
      <c r="AI342" s="106"/>
      <c r="AJ342" s="106"/>
      <c r="AM342" s="96"/>
      <c r="AN342" s="96"/>
      <c r="AO342" s="96"/>
      <c r="AP342" s="96"/>
      <c r="AQ342" s="96"/>
      <c r="AR342" s="96"/>
    </row>
    <row r="343" spans="1:44" s="6" customFormat="1" ht="15" hidden="1" customHeight="1">
      <c r="A343" s="106"/>
      <c r="B343" s="106"/>
      <c r="C343" s="106"/>
      <c r="D343" s="106"/>
      <c r="E343" s="106"/>
      <c r="F343" s="106"/>
      <c r="G343" s="106"/>
      <c r="H343" s="106"/>
      <c r="I343" s="106"/>
      <c r="J343" s="106"/>
      <c r="K343" s="106"/>
      <c r="L343" s="106"/>
      <c r="M343" s="106"/>
      <c r="N343" s="106"/>
      <c r="O343" s="106"/>
      <c r="P343" s="106"/>
      <c r="Q343" s="106"/>
      <c r="R343" s="106"/>
      <c r="S343" s="106"/>
      <c r="T343" s="106"/>
      <c r="U343" s="106"/>
      <c r="V343" s="106"/>
      <c r="W343" s="106"/>
      <c r="X343" s="106"/>
      <c r="Y343" s="106"/>
      <c r="Z343" s="106"/>
      <c r="AA343" s="106"/>
      <c r="AB343" s="106"/>
      <c r="AC343" s="106"/>
      <c r="AD343" s="106"/>
      <c r="AE343" s="106"/>
      <c r="AF343" s="106"/>
      <c r="AG343" s="106"/>
      <c r="AH343" s="106"/>
      <c r="AI343" s="106"/>
      <c r="AJ343" s="106"/>
      <c r="AM343" s="96"/>
      <c r="AN343" s="96"/>
      <c r="AO343" s="96"/>
      <c r="AP343" s="96"/>
      <c r="AQ343" s="96"/>
      <c r="AR343" s="96"/>
    </row>
    <row r="344" spans="1:44" s="6" customFormat="1" ht="15" hidden="1" customHeight="1">
      <c r="A344" s="106"/>
      <c r="B344" s="106"/>
      <c r="C344" s="106"/>
      <c r="D344" s="106"/>
      <c r="E344" s="106"/>
      <c r="F344" s="106"/>
      <c r="G344" s="106"/>
      <c r="H344" s="106"/>
      <c r="I344" s="106"/>
      <c r="J344" s="106"/>
      <c r="K344" s="106"/>
      <c r="L344" s="106"/>
      <c r="M344" s="106"/>
      <c r="N344" s="106"/>
      <c r="O344" s="106"/>
      <c r="P344" s="106"/>
      <c r="Q344" s="106"/>
      <c r="R344" s="106"/>
      <c r="S344" s="106"/>
      <c r="T344" s="106"/>
      <c r="U344" s="106"/>
      <c r="V344" s="106"/>
      <c r="W344" s="106"/>
      <c r="X344" s="106"/>
      <c r="Y344" s="106"/>
      <c r="Z344" s="106"/>
      <c r="AA344" s="106"/>
      <c r="AB344" s="106"/>
      <c r="AC344" s="106"/>
      <c r="AD344" s="106"/>
      <c r="AE344" s="106"/>
      <c r="AF344" s="106"/>
      <c r="AG344" s="106"/>
      <c r="AH344" s="106"/>
      <c r="AI344" s="106"/>
      <c r="AJ344" s="106"/>
      <c r="AM344" s="96"/>
      <c r="AN344" s="96"/>
      <c r="AO344" s="96"/>
      <c r="AP344" s="96"/>
      <c r="AQ344" s="96"/>
      <c r="AR344" s="96"/>
    </row>
    <row r="345" spans="1:44" s="6" customFormat="1" ht="15" hidden="1" customHeight="1">
      <c r="A345" s="106"/>
      <c r="B345" s="106"/>
      <c r="C345" s="106"/>
      <c r="D345" s="106"/>
      <c r="E345" s="106"/>
      <c r="F345" s="106"/>
      <c r="G345" s="106"/>
      <c r="H345" s="106"/>
      <c r="I345" s="106"/>
      <c r="J345" s="106"/>
      <c r="K345" s="106"/>
      <c r="L345" s="106"/>
      <c r="M345" s="106"/>
      <c r="N345" s="106"/>
      <c r="O345" s="106"/>
      <c r="P345" s="106"/>
      <c r="Q345" s="106"/>
      <c r="R345" s="106"/>
      <c r="S345" s="106"/>
      <c r="T345" s="106"/>
      <c r="U345" s="106"/>
      <c r="V345" s="106"/>
      <c r="W345" s="106"/>
      <c r="X345" s="106"/>
      <c r="Y345" s="106"/>
      <c r="Z345" s="106"/>
      <c r="AA345" s="106"/>
      <c r="AB345" s="106"/>
      <c r="AC345" s="106"/>
      <c r="AD345" s="106"/>
      <c r="AE345" s="106"/>
      <c r="AF345" s="106"/>
      <c r="AG345" s="106"/>
      <c r="AH345" s="106"/>
      <c r="AI345" s="106"/>
      <c r="AJ345" s="106"/>
      <c r="AM345" s="96"/>
      <c r="AN345" s="96"/>
      <c r="AO345" s="96"/>
      <c r="AP345" s="96"/>
      <c r="AQ345" s="96"/>
      <c r="AR345" s="96"/>
    </row>
    <row r="346" spans="1:44" s="6" customFormat="1" ht="15" hidden="1" customHeight="1">
      <c r="A346" s="106"/>
      <c r="B346" s="106"/>
      <c r="C346" s="106"/>
      <c r="D346" s="106"/>
      <c r="E346" s="106"/>
      <c r="F346" s="106"/>
      <c r="G346" s="106"/>
      <c r="H346" s="106"/>
      <c r="I346" s="106"/>
      <c r="J346" s="106"/>
      <c r="K346" s="106"/>
      <c r="L346" s="106"/>
      <c r="M346" s="106"/>
      <c r="N346" s="106"/>
      <c r="O346" s="106"/>
      <c r="P346" s="106"/>
      <c r="Q346" s="106"/>
      <c r="R346" s="106"/>
      <c r="S346" s="106"/>
      <c r="T346" s="106"/>
      <c r="U346" s="106"/>
      <c r="V346" s="106"/>
      <c r="W346" s="106"/>
      <c r="X346" s="106"/>
      <c r="Y346" s="106"/>
      <c r="Z346" s="106"/>
      <c r="AA346" s="106"/>
      <c r="AB346" s="106"/>
      <c r="AC346" s="106"/>
      <c r="AD346" s="106"/>
      <c r="AE346" s="106"/>
      <c r="AF346" s="106"/>
      <c r="AG346" s="106"/>
      <c r="AH346" s="106"/>
      <c r="AI346" s="106"/>
      <c r="AJ346" s="106"/>
      <c r="AM346" s="96"/>
      <c r="AN346" s="96"/>
      <c r="AO346" s="96"/>
      <c r="AP346" s="96"/>
      <c r="AQ346" s="96"/>
      <c r="AR346" s="96"/>
    </row>
    <row r="347" spans="1:44" s="6" customFormat="1" ht="15" hidden="1" customHeight="1">
      <c r="A347" s="106"/>
      <c r="B347" s="106"/>
      <c r="C347" s="106"/>
      <c r="D347" s="106"/>
      <c r="E347" s="106"/>
      <c r="F347" s="106"/>
      <c r="G347" s="106"/>
      <c r="H347" s="106"/>
      <c r="I347" s="106"/>
      <c r="J347" s="106"/>
      <c r="K347" s="106"/>
      <c r="L347" s="106"/>
      <c r="M347" s="106"/>
      <c r="N347" s="106"/>
      <c r="O347" s="106"/>
      <c r="P347" s="106"/>
      <c r="Q347" s="106"/>
      <c r="R347" s="106"/>
      <c r="S347" s="106"/>
      <c r="T347" s="106"/>
      <c r="U347" s="106"/>
      <c r="V347" s="106"/>
      <c r="W347" s="106"/>
      <c r="X347" s="106"/>
      <c r="Y347" s="106"/>
      <c r="Z347" s="106"/>
      <c r="AA347" s="106"/>
      <c r="AB347" s="106"/>
      <c r="AC347" s="106"/>
      <c r="AD347" s="106"/>
      <c r="AE347" s="106"/>
      <c r="AF347" s="106"/>
      <c r="AG347" s="106"/>
      <c r="AH347" s="106"/>
      <c r="AI347" s="106"/>
      <c r="AJ347" s="106"/>
      <c r="AM347" s="96"/>
      <c r="AN347" s="96"/>
      <c r="AO347" s="96"/>
      <c r="AP347" s="96"/>
      <c r="AQ347" s="96"/>
      <c r="AR347" s="96"/>
    </row>
    <row r="348" spans="1:44" s="6" customFormat="1" ht="15" hidden="1" customHeight="1">
      <c r="A348" s="106"/>
      <c r="B348" s="106"/>
      <c r="C348" s="106"/>
      <c r="D348" s="106"/>
      <c r="E348" s="106"/>
      <c r="F348" s="106"/>
      <c r="G348" s="106"/>
      <c r="H348" s="106"/>
      <c r="I348" s="106"/>
      <c r="J348" s="106"/>
      <c r="K348" s="106"/>
      <c r="L348" s="106"/>
      <c r="M348" s="106"/>
      <c r="N348" s="106"/>
      <c r="O348" s="106"/>
      <c r="P348" s="106"/>
      <c r="Q348" s="106"/>
      <c r="R348" s="106"/>
      <c r="S348" s="106"/>
      <c r="T348" s="106"/>
      <c r="U348" s="106"/>
      <c r="V348" s="106"/>
      <c r="W348" s="106"/>
      <c r="X348" s="106"/>
      <c r="Y348" s="106"/>
      <c r="Z348" s="106"/>
      <c r="AA348" s="106"/>
      <c r="AB348" s="106"/>
      <c r="AC348" s="106"/>
      <c r="AD348" s="106"/>
      <c r="AE348" s="106"/>
      <c r="AF348" s="106"/>
      <c r="AG348" s="106"/>
      <c r="AH348" s="106"/>
      <c r="AI348" s="106"/>
      <c r="AJ348" s="106"/>
      <c r="AM348" s="96"/>
      <c r="AN348" s="96"/>
      <c r="AO348" s="96"/>
      <c r="AP348" s="96"/>
      <c r="AQ348" s="96"/>
      <c r="AR348" s="96"/>
    </row>
    <row r="349" spans="1:44" s="6" customFormat="1" ht="15" hidden="1" customHeight="1">
      <c r="A349" s="106"/>
      <c r="B349" s="106"/>
      <c r="C349" s="106"/>
      <c r="D349" s="106"/>
      <c r="E349" s="106"/>
      <c r="F349" s="106"/>
      <c r="G349" s="106"/>
      <c r="H349" s="106"/>
      <c r="I349" s="106"/>
      <c r="J349" s="106"/>
      <c r="K349" s="106"/>
      <c r="L349" s="106"/>
      <c r="M349" s="106"/>
      <c r="N349" s="106"/>
      <c r="O349" s="106"/>
      <c r="P349" s="106"/>
      <c r="Q349" s="106"/>
      <c r="R349" s="106"/>
      <c r="S349" s="106"/>
      <c r="T349" s="106"/>
      <c r="U349" s="106"/>
      <c r="V349" s="106"/>
      <c r="W349" s="106"/>
      <c r="X349" s="106"/>
      <c r="Y349" s="106"/>
      <c r="Z349" s="106"/>
      <c r="AA349" s="106"/>
      <c r="AB349" s="106"/>
      <c r="AC349" s="106"/>
      <c r="AD349" s="106"/>
      <c r="AE349" s="106"/>
      <c r="AF349" s="106"/>
      <c r="AG349" s="106"/>
      <c r="AH349" s="106"/>
      <c r="AI349" s="106"/>
      <c r="AJ349" s="106"/>
      <c r="AM349" s="96"/>
      <c r="AN349" s="96"/>
      <c r="AO349" s="96"/>
      <c r="AP349" s="96"/>
      <c r="AQ349" s="96"/>
      <c r="AR349" s="96"/>
    </row>
    <row r="350" spans="1:44" s="6" customFormat="1" ht="15" hidden="1" customHeight="1">
      <c r="A350" s="106"/>
      <c r="B350" s="106"/>
      <c r="C350" s="106"/>
      <c r="D350" s="106"/>
      <c r="E350" s="106"/>
      <c r="F350" s="106"/>
      <c r="G350" s="106"/>
      <c r="H350" s="106"/>
      <c r="I350" s="106"/>
      <c r="J350" s="106"/>
      <c r="K350" s="106"/>
      <c r="L350" s="106"/>
      <c r="M350" s="106"/>
      <c r="N350" s="106"/>
      <c r="O350" s="106"/>
      <c r="P350" s="106"/>
      <c r="Q350" s="106"/>
      <c r="R350" s="106"/>
      <c r="S350" s="106"/>
      <c r="T350" s="106"/>
      <c r="U350" s="106"/>
      <c r="V350" s="106"/>
      <c r="W350" s="106"/>
      <c r="X350" s="106"/>
      <c r="Y350" s="106"/>
      <c r="Z350" s="106"/>
      <c r="AA350" s="106"/>
      <c r="AB350" s="106"/>
      <c r="AC350" s="106"/>
      <c r="AD350" s="106"/>
      <c r="AE350" s="106"/>
      <c r="AF350" s="106"/>
      <c r="AG350" s="106"/>
      <c r="AH350" s="106"/>
      <c r="AI350" s="106"/>
      <c r="AJ350" s="106"/>
      <c r="AM350" s="96"/>
      <c r="AN350" s="96"/>
      <c r="AO350" s="96"/>
      <c r="AP350" s="96"/>
      <c r="AQ350" s="96"/>
      <c r="AR350" s="96"/>
    </row>
    <row r="351" spans="1:44" s="6" customFormat="1" ht="15" hidden="1" customHeight="1">
      <c r="A351" s="106"/>
      <c r="B351" s="106"/>
      <c r="C351" s="106"/>
      <c r="D351" s="106"/>
      <c r="E351" s="106"/>
      <c r="F351" s="106"/>
      <c r="G351" s="106"/>
      <c r="H351" s="106"/>
      <c r="I351" s="106"/>
      <c r="J351" s="106"/>
      <c r="K351" s="106"/>
      <c r="L351" s="106"/>
      <c r="M351" s="106"/>
      <c r="N351" s="106"/>
      <c r="O351" s="106"/>
      <c r="P351" s="106"/>
      <c r="Q351" s="106"/>
      <c r="R351" s="106"/>
      <c r="S351" s="106"/>
      <c r="T351" s="106"/>
      <c r="U351" s="106"/>
      <c r="V351" s="106"/>
      <c r="W351" s="106"/>
      <c r="X351" s="106"/>
      <c r="Y351" s="106"/>
      <c r="Z351" s="106"/>
      <c r="AA351" s="106"/>
      <c r="AB351" s="106"/>
      <c r="AC351" s="106"/>
      <c r="AD351" s="106"/>
      <c r="AE351" s="106"/>
      <c r="AF351" s="106"/>
      <c r="AG351" s="106"/>
      <c r="AH351" s="106"/>
      <c r="AI351" s="106"/>
      <c r="AJ351" s="106"/>
      <c r="AM351" s="96"/>
      <c r="AN351" s="96"/>
      <c r="AO351" s="96"/>
      <c r="AP351" s="96"/>
      <c r="AQ351" s="96"/>
      <c r="AR351" s="96"/>
    </row>
    <row r="352" spans="1:44" s="6" customFormat="1" ht="15" hidden="1" customHeight="1">
      <c r="A352" s="106"/>
      <c r="B352" s="106"/>
      <c r="C352" s="106"/>
      <c r="D352" s="106"/>
      <c r="E352" s="106"/>
      <c r="F352" s="106"/>
      <c r="G352" s="106"/>
      <c r="H352" s="106"/>
      <c r="I352" s="106"/>
      <c r="J352" s="106"/>
      <c r="K352" s="106"/>
      <c r="L352" s="106"/>
      <c r="M352" s="106"/>
      <c r="N352" s="106"/>
      <c r="O352" s="106"/>
      <c r="P352" s="106"/>
      <c r="Q352" s="106"/>
      <c r="R352" s="106"/>
      <c r="S352" s="106"/>
      <c r="T352" s="106"/>
      <c r="U352" s="106"/>
      <c r="V352" s="106"/>
      <c r="W352" s="106"/>
      <c r="X352" s="106"/>
      <c r="Y352" s="106"/>
      <c r="Z352" s="106"/>
      <c r="AA352" s="106"/>
      <c r="AB352" s="106"/>
      <c r="AC352" s="106"/>
      <c r="AD352" s="106"/>
      <c r="AE352" s="106"/>
      <c r="AF352" s="106"/>
      <c r="AG352" s="106"/>
      <c r="AH352" s="106"/>
      <c r="AI352" s="106"/>
      <c r="AJ352" s="106"/>
      <c r="AM352" s="96"/>
      <c r="AN352" s="96"/>
      <c r="AO352" s="96"/>
      <c r="AP352" s="96"/>
      <c r="AQ352" s="96"/>
      <c r="AR352" s="96"/>
    </row>
    <row r="353" spans="1:44" s="6" customFormat="1" ht="15" hidden="1" customHeight="1">
      <c r="A353" s="106"/>
      <c r="B353" s="106"/>
      <c r="C353" s="106"/>
      <c r="D353" s="106"/>
      <c r="E353" s="106"/>
      <c r="F353" s="106"/>
      <c r="G353" s="106"/>
      <c r="H353" s="106"/>
      <c r="I353" s="106"/>
      <c r="J353" s="106"/>
      <c r="K353" s="106"/>
      <c r="L353" s="106"/>
      <c r="M353" s="106"/>
      <c r="N353" s="106"/>
      <c r="O353" s="106"/>
      <c r="P353" s="106"/>
      <c r="Q353" s="106"/>
      <c r="R353" s="106"/>
      <c r="S353" s="106"/>
      <c r="T353" s="106"/>
      <c r="U353" s="106"/>
      <c r="V353" s="106"/>
      <c r="W353" s="106"/>
      <c r="X353" s="106"/>
      <c r="Y353" s="106"/>
      <c r="Z353" s="106"/>
      <c r="AA353" s="106"/>
      <c r="AB353" s="106"/>
      <c r="AC353" s="106"/>
      <c r="AD353" s="106"/>
      <c r="AE353" s="106"/>
      <c r="AF353" s="106"/>
      <c r="AG353" s="106"/>
      <c r="AH353" s="106"/>
      <c r="AI353" s="106"/>
      <c r="AJ353" s="106"/>
      <c r="AM353" s="96"/>
      <c r="AN353" s="96"/>
      <c r="AO353" s="96"/>
      <c r="AP353" s="96"/>
      <c r="AQ353" s="96"/>
      <c r="AR353" s="96"/>
    </row>
    <row r="354" spans="1:44" s="6" customFormat="1" ht="15" hidden="1" customHeight="1">
      <c r="A354" s="106"/>
      <c r="B354" s="106"/>
      <c r="C354" s="106"/>
      <c r="D354" s="106"/>
      <c r="E354" s="106"/>
      <c r="F354" s="106"/>
      <c r="G354" s="106"/>
      <c r="H354" s="106"/>
      <c r="I354" s="106"/>
      <c r="J354" s="106"/>
      <c r="K354" s="106"/>
      <c r="L354" s="106"/>
      <c r="M354" s="106"/>
      <c r="N354" s="106"/>
      <c r="O354" s="106"/>
      <c r="P354" s="106"/>
      <c r="Q354" s="106"/>
      <c r="R354" s="106"/>
      <c r="S354" s="106"/>
      <c r="T354" s="106"/>
      <c r="U354" s="106"/>
      <c r="V354" s="106"/>
      <c r="W354" s="106"/>
      <c r="X354" s="106"/>
      <c r="Y354" s="106"/>
      <c r="Z354" s="106"/>
      <c r="AA354" s="106"/>
      <c r="AB354" s="106"/>
      <c r="AC354" s="106"/>
      <c r="AD354" s="106"/>
      <c r="AE354" s="106"/>
      <c r="AF354" s="106"/>
      <c r="AG354" s="106"/>
      <c r="AH354" s="106"/>
      <c r="AI354" s="106"/>
      <c r="AJ354" s="106"/>
      <c r="AM354" s="96"/>
      <c r="AN354" s="96"/>
      <c r="AO354" s="96"/>
      <c r="AP354" s="96"/>
      <c r="AQ354" s="96"/>
      <c r="AR354" s="96"/>
    </row>
    <row r="355" spans="1:44" s="6" customFormat="1" ht="15" hidden="1" customHeight="1">
      <c r="A355" s="106"/>
      <c r="B355" s="106"/>
      <c r="C355" s="106"/>
      <c r="D355" s="106"/>
      <c r="E355" s="106"/>
      <c r="F355" s="106"/>
      <c r="G355" s="106"/>
      <c r="H355" s="106"/>
      <c r="I355" s="106"/>
      <c r="J355" s="106"/>
      <c r="K355" s="106"/>
      <c r="L355" s="106"/>
      <c r="M355" s="106"/>
      <c r="N355" s="106"/>
      <c r="O355" s="106"/>
      <c r="P355" s="106"/>
      <c r="Q355" s="106"/>
      <c r="R355" s="106"/>
      <c r="S355" s="106"/>
      <c r="T355" s="106"/>
      <c r="U355" s="106"/>
      <c r="V355" s="106"/>
      <c r="W355" s="106"/>
      <c r="X355" s="106"/>
      <c r="Y355" s="106"/>
      <c r="Z355" s="106"/>
      <c r="AA355" s="106"/>
      <c r="AB355" s="106"/>
      <c r="AC355" s="106"/>
      <c r="AD355" s="106"/>
      <c r="AE355" s="106"/>
      <c r="AF355" s="106"/>
      <c r="AG355" s="106"/>
      <c r="AH355" s="106"/>
      <c r="AI355" s="106"/>
      <c r="AJ355" s="106"/>
      <c r="AM355" s="96"/>
      <c r="AN355" s="96"/>
      <c r="AO355" s="96"/>
      <c r="AP355" s="96"/>
      <c r="AQ355" s="96"/>
      <c r="AR355" s="96"/>
    </row>
    <row r="356" spans="1:44" s="6" customFormat="1" ht="15" hidden="1" customHeight="1">
      <c r="A356" s="106"/>
      <c r="B356" s="106"/>
      <c r="C356" s="106"/>
      <c r="D356" s="106"/>
      <c r="E356" s="106"/>
      <c r="F356" s="106"/>
      <c r="G356" s="106"/>
      <c r="H356" s="106"/>
      <c r="I356" s="106"/>
      <c r="J356" s="106"/>
      <c r="K356" s="106"/>
      <c r="L356" s="106"/>
      <c r="M356" s="106"/>
      <c r="N356" s="106"/>
      <c r="O356" s="106"/>
      <c r="P356" s="106"/>
      <c r="Q356" s="106"/>
      <c r="R356" s="106"/>
      <c r="S356" s="106"/>
      <c r="T356" s="106"/>
      <c r="U356" s="106"/>
      <c r="V356" s="106"/>
      <c r="W356" s="106"/>
      <c r="X356" s="106"/>
      <c r="Y356" s="106"/>
      <c r="Z356" s="106"/>
      <c r="AA356" s="106"/>
      <c r="AB356" s="106"/>
      <c r="AC356" s="106"/>
      <c r="AD356" s="106"/>
      <c r="AE356" s="106"/>
      <c r="AF356" s="106"/>
      <c r="AG356" s="106"/>
      <c r="AH356" s="106"/>
      <c r="AI356" s="106"/>
      <c r="AJ356" s="106"/>
      <c r="AM356" s="96"/>
      <c r="AN356" s="96"/>
      <c r="AO356" s="96"/>
      <c r="AP356" s="96"/>
      <c r="AQ356" s="96"/>
      <c r="AR356" s="96"/>
    </row>
    <row r="365" spans="1:44" ht="20.100000000000001" hidden="1" customHeight="1"/>
    <row r="366" spans="1:44" ht="20.100000000000001" hidden="1" customHeight="1"/>
    <row r="370" spans="1:44" s="6" customFormat="1" ht="15" hidden="1" customHeight="1">
      <c r="A370" s="106"/>
      <c r="B370" s="106"/>
      <c r="C370" s="106"/>
      <c r="D370" s="106"/>
      <c r="E370" s="106"/>
      <c r="F370" s="106"/>
      <c r="G370" s="106"/>
      <c r="H370" s="106"/>
      <c r="I370" s="106"/>
      <c r="J370" s="106"/>
      <c r="K370" s="106"/>
      <c r="L370" s="106"/>
      <c r="M370" s="106"/>
      <c r="N370" s="106"/>
      <c r="O370" s="106"/>
      <c r="P370" s="106"/>
      <c r="Q370" s="106"/>
      <c r="R370" s="106"/>
      <c r="S370" s="106"/>
      <c r="T370" s="106"/>
      <c r="U370" s="106"/>
      <c r="V370" s="106"/>
      <c r="W370" s="106"/>
      <c r="X370" s="106"/>
      <c r="Y370" s="106"/>
      <c r="Z370" s="106"/>
      <c r="AA370" s="106"/>
      <c r="AB370" s="106"/>
      <c r="AC370" s="106"/>
      <c r="AD370" s="106"/>
      <c r="AE370" s="106"/>
      <c r="AF370" s="106"/>
      <c r="AG370" s="106"/>
      <c r="AH370" s="106"/>
      <c r="AI370" s="106"/>
      <c r="AJ370" s="106"/>
      <c r="AM370" s="96"/>
      <c r="AN370" s="96"/>
      <c r="AO370" s="96"/>
      <c r="AP370" s="96"/>
      <c r="AQ370" s="96"/>
      <c r="AR370" s="96"/>
    </row>
    <row r="371" spans="1:44" s="6" customFormat="1" ht="15" hidden="1" customHeight="1">
      <c r="A371" s="106"/>
      <c r="B371" s="106"/>
      <c r="C371" s="106"/>
      <c r="D371" s="106"/>
      <c r="E371" s="106"/>
      <c r="F371" s="106"/>
      <c r="G371" s="106"/>
      <c r="H371" s="106"/>
      <c r="I371" s="106"/>
      <c r="J371" s="106"/>
      <c r="K371" s="106"/>
      <c r="L371" s="106"/>
      <c r="M371" s="106"/>
      <c r="N371" s="106"/>
      <c r="O371" s="106"/>
      <c r="P371" s="106"/>
      <c r="Q371" s="106"/>
      <c r="R371" s="106"/>
      <c r="S371" s="106"/>
      <c r="T371" s="106"/>
      <c r="U371" s="106"/>
      <c r="V371" s="106"/>
      <c r="W371" s="106"/>
      <c r="X371" s="106"/>
      <c r="Y371" s="106"/>
      <c r="Z371" s="106"/>
      <c r="AA371" s="106"/>
      <c r="AB371" s="106"/>
      <c r="AC371" s="106"/>
      <c r="AD371" s="106"/>
      <c r="AE371" s="106"/>
      <c r="AF371" s="106"/>
      <c r="AG371" s="106"/>
      <c r="AH371" s="106"/>
      <c r="AI371" s="106"/>
      <c r="AJ371" s="106"/>
      <c r="AM371" s="96"/>
      <c r="AN371" s="96"/>
      <c r="AO371" s="96"/>
      <c r="AP371" s="96"/>
      <c r="AQ371" s="96"/>
      <c r="AR371" s="96"/>
    </row>
    <row r="372" spans="1:44" s="6" customFormat="1" ht="15" hidden="1" customHeight="1">
      <c r="A372" s="106"/>
      <c r="B372" s="106"/>
      <c r="C372" s="106"/>
      <c r="D372" s="106"/>
      <c r="E372" s="106"/>
      <c r="F372" s="106"/>
      <c r="G372" s="106"/>
      <c r="H372" s="106"/>
      <c r="I372" s="106"/>
      <c r="J372" s="106"/>
      <c r="K372" s="106"/>
      <c r="L372" s="106"/>
      <c r="M372" s="106"/>
      <c r="N372" s="106"/>
      <c r="O372" s="106"/>
      <c r="P372" s="106"/>
      <c r="Q372" s="106"/>
      <c r="R372" s="106"/>
      <c r="S372" s="106"/>
      <c r="T372" s="106"/>
      <c r="U372" s="106"/>
      <c r="V372" s="106"/>
      <c r="W372" s="106"/>
      <c r="X372" s="106"/>
      <c r="Y372" s="106"/>
      <c r="Z372" s="106"/>
      <c r="AA372" s="106"/>
      <c r="AB372" s="106"/>
      <c r="AC372" s="106"/>
      <c r="AD372" s="106"/>
      <c r="AE372" s="106"/>
      <c r="AF372" s="106"/>
      <c r="AG372" s="106"/>
      <c r="AH372" s="106"/>
      <c r="AI372" s="106"/>
      <c r="AJ372" s="106"/>
      <c r="AM372" s="96"/>
      <c r="AN372" s="96"/>
      <c r="AO372" s="96"/>
      <c r="AP372" s="96"/>
      <c r="AQ372" s="96"/>
      <c r="AR372" s="96"/>
    </row>
    <row r="373" spans="1:44" s="6" customFormat="1" ht="15" hidden="1" customHeight="1">
      <c r="A373" s="106"/>
      <c r="B373" s="106"/>
      <c r="C373" s="106"/>
      <c r="D373" s="106"/>
      <c r="E373" s="106"/>
      <c r="F373" s="106"/>
      <c r="G373" s="106"/>
      <c r="H373" s="106"/>
      <c r="I373" s="106"/>
      <c r="J373" s="106"/>
      <c r="K373" s="106"/>
      <c r="L373" s="106"/>
      <c r="M373" s="106"/>
      <c r="N373" s="106"/>
      <c r="O373" s="106"/>
      <c r="P373" s="106"/>
      <c r="Q373" s="106"/>
      <c r="R373" s="106"/>
      <c r="S373" s="106"/>
      <c r="T373" s="106"/>
      <c r="U373" s="106"/>
      <c r="V373" s="106"/>
      <c r="W373" s="106"/>
      <c r="X373" s="106"/>
      <c r="Y373" s="106"/>
      <c r="Z373" s="106"/>
      <c r="AA373" s="106"/>
      <c r="AB373" s="106"/>
      <c r="AC373" s="106"/>
      <c r="AD373" s="106"/>
      <c r="AE373" s="106"/>
      <c r="AF373" s="106"/>
      <c r="AG373" s="106"/>
      <c r="AH373" s="106"/>
      <c r="AI373" s="106"/>
      <c r="AJ373" s="106"/>
      <c r="AM373" s="96"/>
      <c r="AN373" s="96"/>
      <c r="AO373" s="96"/>
      <c r="AP373" s="96"/>
      <c r="AQ373" s="96"/>
      <c r="AR373" s="96"/>
    </row>
    <row r="374" spans="1:44" s="6" customFormat="1" ht="15" hidden="1" customHeight="1">
      <c r="A374" s="106"/>
      <c r="B374" s="106"/>
      <c r="C374" s="106"/>
      <c r="D374" s="106"/>
      <c r="E374" s="106"/>
      <c r="F374" s="106"/>
      <c r="G374" s="106"/>
      <c r="H374" s="106"/>
      <c r="I374" s="106"/>
      <c r="J374" s="106"/>
      <c r="K374" s="106"/>
      <c r="L374" s="106"/>
      <c r="M374" s="106"/>
      <c r="N374" s="106"/>
      <c r="O374" s="106"/>
      <c r="P374" s="106"/>
      <c r="Q374" s="106"/>
      <c r="R374" s="106"/>
      <c r="S374" s="106"/>
      <c r="T374" s="106"/>
      <c r="U374" s="106"/>
      <c r="V374" s="106"/>
      <c r="W374" s="106"/>
      <c r="X374" s="106"/>
      <c r="Y374" s="106"/>
      <c r="Z374" s="106"/>
      <c r="AA374" s="106"/>
      <c r="AB374" s="106"/>
      <c r="AC374" s="106"/>
      <c r="AD374" s="106"/>
      <c r="AE374" s="106"/>
      <c r="AF374" s="106"/>
      <c r="AG374" s="106"/>
      <c r="AH374" s="106"/>
      <c r="AI374" s="106"/>
      <c r="AJ374" s="106"/>
      <c r="AM374" s="96"/>
      <c r="AN374" s="96"/>
      <c r="AO374" s="96"/>
      <c r="AP374" s="96"/>
      <c r="AQ374" s="96"/>
      <c r="AR374" s="96"/>
    </row>
    <row r="375" spans="1:44" s="6" customFormat="1" ht="15" hidden="1" customHeight="1">
      <c r="A375" s="106"/>
      <c r="B375" s="106"/>
      <c r="C375" s="106"/>
      <c r="D375" s="106"/>
      <c r="E375" s="106"/>
      <c r="F375" s="106"/>
      <c r="G375" s="106"/>
      <c r="H375" s="106"/>
      <c r="I375" s="106"/>
      <c r="J375" s="106"/>
      <c r="K375" s="106"/>
      <c r="L375" s="106"/>
      <c r="M375" s="106"/>
      <c r="N375" s="106"/>
      <c r="O375" s="106"/>
      <c r="P375" s="106"/>
      <c r="Q375" s="106"/>
      <c r="R375" s="106"/>
      <c r="S375" s="106"/>
      <c r="T375" s="106"/>
      <c r="U375" s="106"/>
      <c r="V375" s="106"/>
      <c r="W375" s="106"/>
      <c r="X375" s="106"/>
      <c r="Y375" s="106"/>
      <c r="Z375" s="106"/>
      <c r="AA375" s="106"/>
      <c r="AB375" s="106"/>
      <c r="AC375" s="106"/>
      <c r="AD375" s="106"/>
      <c r="AE375" s="106"/>
      <c r="AF375" s="106"/>
      <c r="AG375" s="106"/>
      <c r="AH375" s="106"/>
      <c r="AI375" s="106"/>
      <c r="AJ375" s="106"/>
      <c r="AM375" s="96"/>
      <c r="AN375" s="96"/>
      <c r="AO375" s="96"/>
      <c r="AP375" s="96"/>
      <c r="AQ375" s="96"/>
      <c r="AR375" s="96"/>
    </row>
    <row r="376" spans="1:44" s="6" customFormat="1" ht="15" hidden="1" customHeight="1">
      <c r="A376" s="106"/>
      <c r="B376" s="106"/>
      <c r="C376" s="106"/>
      <c r="D376" s="106"/>
      <c r="E376" s="106"/>
      <c r="F376" s="106"/>
      <c r="G376" s="106"/>
      <c r="H376" s="106"/>
      <c r="I376" s="106"/>
      <c r="J376" s="106"/>
      <c r="K376" s="106"/>
      <c r="L376" s="106"/>
      <c r="M376" s="106"/>
      <c r="N376" s="106"/>
      <c r="O376" s="106"/>
      <c r="P376" s="106"/>
      <c r="Q376" s="106"/>
      <c r="R376" s="106"/>
      <c r="S376" s="106"/>
      <c r="T376" s="106"/>
      <c r="U376" s="106"/>
      <c r="V376" s="106"/>
      <c r="W376" s="106"/>
      <c r="X376" s="106"/>
      <c r="Y376" s="106"/>
      <c r="Z376" s="106"/>
      <c r="AA376" s="106"/>
      <c r="AB376" s="106"/>
      <c r="AC376" s="106"/>
      <c r="AD376" s="106"/>
      <c r="AE376" s="106"/>
      <c r="AF376" s="106"/>
      <c r="AG376" s="106"/>
      <c r="AH376" s="106"/>
      <c r="AI376" s="106"/>
      <c r="AJ376" s="106"/>
      <c r="AM376" s="96"/>
      <c r="AN376" s="96"/>
      <c r="AO376" s="96"/>
      <c r="AP376" s="96"/>
      <c r="AQ376" s="96"/>
      <c r="AR376" s="96"/>
    </row>
    <row r="377" spans="1:44" s="6" customFormat="1" ht="15" hidden="1" customHeight="1">
      <c r="A377" s="106"/>
      <c r="B377" s="106"/>
      <c r="C377" s="106"/>
      <c r="D377" s="106"/>
      <c r="E377" s="106"/>
      <c r="F377" s="106"/>
      <c r="G377" s="106"/>
      <c r="H377" s="106"/>
      <c r="I377" s="106"/>
      <c r="J377" s="106"/>
      <c r="K377" s="106"/>
      <c r="L377" s="106"/>
      <c r="M377" s="106"/>
      <c r="N377" s="106"/>
      <c r="O377" s="106"/>
      <c r="P377" s="106"/>
      <c r="Q377" s="106"/>
      <c r="R377" s="106"/>
      <c r="S377" s="106"/>
      <c r="T377" s="106"/>
      <c r="U377" s="106"/>
      <c r="V377" s="106"/>
      <c r="W377" s="106"/>
      <c r="X377" s="106"/>
      <c r="Y377" s="106"/>
      <c r="Z377" s="106"/>
      <c r="AA377" s="106"/>
      <c r="AB377" s="106"/>
      <c r="AC377" s="106"/>
      <c r="AD377" s="106"/>
      <c r="AE377" s="106"/>
      <c r="AF377" s="106"/>
      <c r="AG377" s="106"/>
      <c r="AH377" s="106"/>
      <c r="AI377" s="106"/>
      <c r="AJ377" s="106"/>
      <c r="AM377" s="96"/>
      <c r="AN377" s="96"/>
      <c r="AO377" s="96"/>
      <c r="AP377" s="96"/>
      <c r="AQ377" s="96"/>
      <c r="AR377" s="96"/>
    </row>
    <row r="378" spans="1:44" s="6" customFormat="1" ht="15" hidden="1" customHeight="1">
      <c r="A378" s="106"/>
      <c r="B378" s="106"/>
      <c r="C378" s="106"/>
      <c r="D378" s="106"/>
      <c r="E378" s="106"/>
      <c r="F378" s="106"/>
      <c r="G378" s="106"/>
      <c r="H378" s="106"/>
      <c r="I378" s="106"/>
      <c r="J378" s="106"/>
      <c r="K378" s="106"/>
      <c r="L378" s="106"/>
      <c r="M378" s="106"/>
      <c r="N378" s="106"/>
      <c r="O378" s="106"/>
      <c r="P378" s="106"/>
      <c r="Q378" s="106"/>
      <c r="R378" s="106"/>
      <c r="S378" s="106"/>
      <c r="T378" s="106"/>
      <c r="U378" s="106"/>
      <c r="V378" s="106"/>
      <c r="W378" s="106"/>
      <c r="X378" s="106"/>
      <c r="Y378" s="106"/>
      <c r="Z378" s="106"/>
      <c r="AA378" s="106"/>
      <c r="AB378" s="106"/>
      <c r="AC378" s="106"/>
      <c r="AD378" s="106"/>
      <c r="AE378" s="106"/>
      <c r="AF378" s="106"/>
      <c r="AG378" s="106"/>
      <c r="AH378" s="106"/>
      <c r="AI378" s="106"/>
      <c r="AJ378" s="106"/>
      <c r="AM378" s="96"/>
      <c r="AN378" s="96"/>
      <c r="AO378" s="96"/>
      <c r="AP378" s="96"/>
      <c r="AQ378" s="96"/>
      <c r="AR378" s="96"/>
    </row>
    <row r="379" spans="1:44" s="6" customFormat="1" ht="15" hidden="1" customHeight="1">
      <c r="A379" s="106"/>
      <c r="B379" s="106"/>
      <c r="C379" s="106"/>
      <c r="D379" s="106"/>
      <c r="E379" s="106"/>
      <c r="F379" s="106"/>
      <c r="G379" s="106"/>
      <c r="H379" s="106"/>
      <c r="I379" s="106"/>
      <c r="J379" s="106"/>
      <c r="K379" s="106"/>
      <c r="L379" s="106"/>
      <c r="M379" s="106"/>
      <c r="N379" s="106"/>
      <c r="O379" s="106"/>
      <c r="P379" s="106"/>
      <c r="Q379" s="106"/>
      <c r="R379" s="106"/>
      <c r="S379" s="106"/>
      <c r="T379" s="106"/>
      <c r="U379" s="106"/>
      <c r="V379" s="106"/>
      <c r="W379" s="106"/>
      <c r="X379" s="106"/>
      <c r="Y379" s="106"/>
      <c r="Z379" s="106"/>
      <c r="AA379" s="106"/>
      <c r="AB379" s="106"/>
      <c r="AC379" s="106"/>
      <c r="AD379" s="106"/>
      <c r="AE379" s="106"/>
      <c r="AF379" s="106"/>
      <c r="AG379" s="106"/>
      <c r="AH379" s="106"/>
      <c r="AI379" s="106"/>
      <c r="AJ379" s="106"/>
      <c r="AM379" s="96"/>
      <c r="AN379" s="96"/>
      <c r="AO379" s="96"/>
      <c r="AP379" s="96"/>
      <c r="AQ379" s="96"/>
      <c r="AR379" s="96"/>
    </row>
    <row r="380" spans="1:44" s="6" customFormat="1" ht="15" hidden="1" customHeight="1">
      <c r="A380" s="106"/>
      <c r="B380" s="106"/>
      <c r="C380" s="106"/>
      <c r="D380" s="106"/>
      <c r="E380" s="106"/>
      <c r="F380" s="106"/>
      <c r="G380" s="106"/>
      <c r="H380" s="106"/>
      <c r="I380" s="106"/>
      <c r="J380" s="106"/>
      <c r="K380" s="106"/>
      <c r="L380" s="106"/>
      <c r="M380" s="106"/>
      <c r="N380" s="106"/>
      <c r="O380" s="106"/>
      <c r="P380" s="106"/>
      <c r="Q380" s="106"/>
      <c r="R380" s="106"/>
      <c r="S380" s="106"/>
      <c r="T380" s="106"/>
      <c r="U380" s="106"/>
      <c r="V380" s="106"/>
      <c r="W380" s="106"/>
      <c r="X380" s="106"/>
      <c r="Y380" s="106"/>
      <c r="Z380" s="106"/>
      <c r="AA380" s="106"/>
      <c r="AB380" s="106"/>
      <c r="AC380" s="106"/>
      <c r="AD380" s="106"/>
      <c r="AE380" s="106"/>
      <c r="AF380" s="106"/>
      <c r="AG380" s="106"/>
      <c r="AH380" s="106"/>
      <c r="AI380" s="106"/>
      <c r="AJ380" s="106"/>
      <c r="AM380" s="96"/>
      <c r="AN380" s="96"/>
      <c r="AO380" s="96"/>
      <c r="AP380" s="96"/>
      <c r="AQ380" s="96"/>
      <c r="AR380" s="96"/>
    </row>
    <row r="381" spans="1:44" s="6" customFormat="1" ht="30" hidden="1" customHeight="1">
      <c r="A381" s="106"/>
      <c r="B381" s="106"/>
      <c r="C381" s="106"/>
      <c r="D381" s="106"/>
      <c r="E381" s="106"/>
      <c r="F381" s="106"/>
      <c r="G381" s="106"/>
      <c r="H381" s="106"/>
      <c r="I381" s="106"/>
      <c r="J381" s="106"/>
      <c r="K381" s="106"/>
      <c r="L381" s="106"/>
      <c r="M381" s="106"/>
      <c r="N381" s="106"/>
      <c r="O381" s="106"/>
      <c r="P381" s="106"/>
      <c r="Q381" s="106"/>
      <c r="R381" s="106"/>
      <c r="S381" s="106"/>
      <c r="T381" s="106"/>
      <c r="U381" s="106"/>
      <c r="V381" s="106"/>
      <c r="W381" s="106"/>
      <c r="X381" s="106"/>
      <c r="Y381" s="106"/>
      <c r="Z381" s="106"/>
      <c r="AA381" s="106"/>
      <c r="AB381" s="106"/>
      <c r="AC381" s="106"/>
      <c r="AD381" s="106"/>
      <c r="AE381" s="106"/>
      <c r="AF381" s="106"/>
      <c r="AG381" s="106"/>
      <c r="AH381" s="106"/>
      <c r="AI381" s="106"/>
      <c r="AJ381" s="106"/>
      <c r="AM381" s="96"/>
      <c r="AN381" s="96"/>
      <c r="AO381" s="96"/>
      <c r="AP381" s="96"/>
      <c r="AQ381" s="96"/>
      <c r="AR381" s="96"/>
    </row>
    <row r="382" spans="1:44" s="6" customFormat="1" ht="15" hidden="1" customHeight="1">
      <c r="A382" s="106"/>
      <c r="B382" s="106"/>
      <c r="C382" s="106"/>
      <c r="D382" s="106"/>
      <c r="E382" s="106"/>
      <c r="F382" s="106"/>
      <c r="G382" s="106"/>
      <c r="H382" s="106"/>
      <c r="I382" s="106"/>
      <c r="J382" s="106"/>
      <c r="K382" s="106"/>
      <c r="L382" s="106"/>
      <c r="M382" s="106"/>
      <c r="N382" s="106"/>
      <c r="O382" s="106"/>
      <c r="P382" s="106"/>
      <c r="Q382" s="106"/>
      <c r="R382" s="106"/>
      <c r="S382" s="106"/>
      <c r="T382" s="106"/>
      <c r="U382" s="106"/>
      <c r="V382" s="106"/>
      <c r="W382" s="106"/>
      <c r="X382" s="106"/>
      <c r="Y382" s="106"/>
      <c r="Z382" s="106"/>
      <c r="AA382" s="106"/>
      <c r="AB382" s="106"/>
      <c r="AC382" s="106"/>
      <c r="AD382" s="106"/>
      <c r="AE382" s="106"/>
      <c r="AF382" s="106"/>
      <c r="AG382" s="106"/>
      <c r="AH382" s="106"/>
      <c r="AI382" s="106"/>
      <c r="AJ382" s="106"/>
      <c r="AM382" s="96"/>
      <c r="AN382" s="96"/>
      <c r="AO382" s="96"/>
      <c r="AP382" s="96"/>
      <c r="AQ382" s="96"/>
      <c r="AR382" s="96"/>
    </row>
    <row r="383" spans="1:44" s="6" customFormat="1" ht="30" hidden="1" customHeight="1">
      <c r="A383" s="106"/>
      <c r="B383" s="106"/>
      <c r="C383" s="106"/>
      <c r="D383" s="106"/>
      <c r="E383" s="106"/>
      <c r="F383" s="106"/>
      <c r="G383" s="106"/>
      <c r="H383" s="106"/>
      <c r="I383" s="106"/>
      <c r="J383" s="106"/>
      <c r="K383" s="106"/>
      <c r="L383" s="106"/>
      <c r="M383" s="106"/>
      <c r="N383" s="106"/>
      <c r="O383" s="106"/>
      <c r="P383" s="106"/>
      <c r="Q383" s="106"/>
      <c r="R383" s="106"/>
      <c r="S383" s="106"/>
      <c r="T383" s="106"/>
      <c r="U383" s="106"/>
      <c r="V383" s="106"/>
      <c r="W383" s="106"/>
      <c r="X383" s="106"/>
      <c r="Y383" s="106"/>
      <c r="Z383" s="106"/>
      <c r="AA383" s="106"/>
      <c r="AB383" s="106"/>
      <c r="AC383" s="106"/>
      <c r="AD383" s="106"/>
      <c r="AE383" s="106"/>
      <c r="AF383" s="106"/>
      <c r="AG383" s="106"/>
      <c r="AH383" s="106"/>
      <c r="AI383" s="106"/>
      <c r="AJ383" s="106"/>
      <c r="AM383" s="96"/>
      <c r="AN383" s="96"/>
      <c r="AO383" s="96"/>
      <c r="AP383" s="96"/>
      <c r="AQ383" s="96"/>
      <c r="AR383" s="96"/>
    </row>
    <row r="384" spans="1:44" s="6" customFormat="1" ht="15" hidden="1" customHeight="1">
      <c r="A384" s="106"/>
      <c r="B384" s="106"/>
      <c r="C384" s="106"/>
      <c r="D384" s="106"/>
      <c r="E384" s="106"/>
      <c r="F384" s="106"/>
      <c r="G384" s="106"/>
      <c r="H384" s="106"/>
      <c r="I384" s="106"/>
      <c r="J384" s="106"/>
      <c r="K384" s="106"/>
      <c r="L384" s="106"/>
      <c r="M384" s="106"/>
      <c r="N384" s="106"/>
      <c r="O384" s="106"/>
      <c r="P384" s="106"/>
      <c r="Q384" s="106"/>
      <c r="R384" s="106"/>
      <c r="S384" s="106"/>
      <c r="T384" s="106"/>
      <c r="U384" s="106"/>
      <c r="V384" s="106"/>
      <c r="W384" s="106"/>
      <c r="X384" s="106"/>
      <c r="Y384" s="106"/>
      <c r="Z384" s="106"/>
      <c r="AA384" s="106"/>
      <c r="AB384" s="106"/>
      <c r="AC384" s="106"/>
      <c r="AD384" s="106"/>
      <c r="AE384" s="106"/>
      <c r="AF384" s="106"/>
      <c r="AG384" s="106"/>
      <c r="AH384" s="106"/>
      <c r="AI384" s="106"/>
      <c r="AJ384" s="106"/>
      <c r="AM384" s="96"/>
      <c r="AN384" s="96"/>
      <c r="AO384" s="96"/>
      <c r="AP384" s="96"/>
      <c r="AQ384" s="96"/>
      <c r="AR384" s="96"/>
    </row>
    <row r="385" spans="1:44" s="6" customFormat="1" ht="15" hidden="1" customHeight="1">
      <c r="A385" s="106"/>
      <c r="B385" s="106"/>
      <c r="C385" s="106"/>
      <c r="D385" s="106"/>
      <c r="E385" s="106"/>
      <c r="F385" s="106"/>
      <c r="G385" s="106"/>
      <c r="H385" s="106"/>
      <c r="I385" s="106"/>
      <c r="J385" s="106"/>
      <c r="K385" s="106"/>
      <c r="L385" s="106"/>
      <c r="M385" s="106"/>
      <c r="N385" s="106"/>
      <c r="O385" s="106"/>
      <c r="P385" s="106"/>
      <c r="Q385" s="106"/>
      <c r="R385" s="106"/>
      <c r="S385" s="106"/>
      <c r="T385" s="106"/>
      <c r="U385" s="106"/>
      <c r="V385" s="106"/>
      <c r="W385" s="106"/>
      <c r="X385" s="106"/>
      <c r="Y385" s="106"/>
      <c r="Z385" s="106"/>
      <c r="AA385" s="106"/>
      <c r="AB385" s="106"/>
      <c r="AC385" s="106"/>
      <c r="AD385" s="106"/>
      <c r="AE385" s="106"/>
      <c r="AF385" s="106"/>
      <c r="AG385" s="106"/>
      <c r="AH385" s="106"/>
      <c r="AI385" s="106"/>
      <c r="AJ385" s="106"/>
      <c r="AM385" s="96"/>
      <c r="AN385" s="96"/>
      <c r="AO385" s="96"/>
      <c r="AP385" s="96"/>
      <c r="AQ385" s="96"/>
      <c r="AR385" s="96"/>
    </row>
    <row r="386" spans="1:44" s="6" customFormat="1" ht="30" hidden="1" customHeight="1">
      <c r="A386" s="106"/>
      <c r="B386" s="106"/>
      <c r="C386" s="106"/>
      <c r="D386" s="106"/>
      <c r="E386" s="106"/>
      <c r="F386" s="106"/>
      <c r="G386" s="106"/>
      <c r="H386" s="106"/>
      <c r="I386" s="106"/>
      <c r="J386" s="106"/>
      <c r="K386" s="106"/>
      <c r="L386" s="106"/>
      <c r="M386" s="106"/>
      <c r="N386" s="106"/>
      <c r="O386" s="106"/>
      <c r="P386" s="106"/>
      <c r="Q386" s="106"/>
      <c r="R386" s="106"/>
      <c r="S386" s="106"/>
      <c r="T386" s="106"/>
      <c r="U386" s="106"/>
      <c r="V386" s="106"/>
      <c r="W386" s="106"/>
      <c r="X386" s="106"/>
      <c r="Y386" s="106"/>
      <c r="Z386" s="106"/>
      <c r="AA386" s="106"/>
      <c r="AB386" s="106"/>
      <c r="AC386" s="106"/>
      <c r="AD386" s="106"/>
      <c r="AE386" s="106"/>
      <c r="AF386" s="106"/>
      <c r="AG386" s="106"/>
      <c r="AH386" s="106"/>
      <c r="AI386" s="106"/>
      <c r="AJ386" s="106"/>
      <c r="AM386" s="96"/>
      <c r="AN386" s="96"/>
      <c r="AO386" s="96"/>
      <c r="AP386" s="96"/>
      <c r="AQ386" s="96"/>
      <c r="AR386" s="96"/>
    </row>
    <row r="387" spans="1:44" s="6" customFormat="1" ht="15" hidden="1" customHeight="1">
      <c r="A387" s="106"/>
      <c r="B387" s="106"/>
      <c r="C387" s="106"/>
      <c r="D387" s="106"/>
      <c r="E387" s="106"/>
      <c r="F387" s="106"/>
      <c r="G387" s="106"/>
      <c r="H387" s="106"/>
      <c r="I387" s="106"/>
      <c r="J387" s="106"/>
      <c r="K387" s="106"/>
      <c r="L387" s="106"/>
      <c r="M387" s="106"/>
      <c r="N387" s="106"/>
      <c r="O387" s="106"/>
      <c r="P387" s="106"/>
      <c r="Q387" s="106"/>
      <c r="R387" s="106"/>
      <c r="S387" s="106"/>
      <c r="T387" s="106"/>
      <c r="U387" s="106"/>
      <c r="V387" s="106"/>
      <c r="W387" s="106"/>
      <c r="X387" s="106"/>
      <c r="Y387" s="106"/>
      <c r="Z387" s="106"/>
      <c r="AA387" s="106"/>
      <c r="AB387" s="106"/>
      <c r="AC387" s="106"/>
      <c r="AD387" s="106"/>
      <c r="AE387" s="106"/>
      <c r="AF387" s="106"/>
      <c r="AG387" s="106"/>
      <c r="AH387" s="106"/>
      <c r="AI387" s="106"/>
      <c r="AJ387" s="106"/>
      <c r="AM387" s="96"/>
      <c r="AN387" s="96"/>
      <c r="AO387" s="96"/>
      <c r="AP387" s="96"/>
      <c r="AQ387" s="96"/>
      <c r="AR387" s="96"/>
    </row>
    <row r="388" spans="1:44" s="6" customFormat="1" ht="15" hidden="1" customHeight="1">
      <c r="A388" s="106"/>
      <c r="B388" s="106"/>
      <c r="C388" s="106"/>
      <c r="D388" s="106"/>
      <c r="E388" s="106"/>
      <c r="F388" s="106"/>
      <c r="G388" s="106"/>
      <c r="H388" s="106"/>
      <c r="I388" s="106"/>
      <c r="J388" s="106"/>
      <c r="K388" s="106"/>
      <c r="L388" s="106"/>
      <c r="M388" s="106"/>
      <c r="N388" s="106"/>
      <c r="O388" s="106"/>
      <c r="P388" s="106"/>
      <c r="Q388" s="106"/>
      <c r="R388" s="106"/>
      <c r="S388" s="106"/>
      <c r="T388" s="106"/>
      <c r="U388" s="106"/>
      <c r="V388" s="106"/>
      <c r="W388" s="106"/>
      <c r="X388" s="106"/>
      <c r="Y388" s="106"/>
      <c r="Z388" s="106"/>
      <c r="AA388" s="106"/>
      <c r="AB388" s="106"/>
      <c r="AC388" s="106"/>
      <c r="AD388" s="106"/>
      <c r="AE388" s="106"/>
      <c r="AF388" s="106"/>
      <c r="AG388" s="106"/>
      <c r="AH388" s="106"/>
      <c r="AI388" s="106"/>
      <c r="AJ388" s="106"/>
      <c r="AM388" s="96"/>
      <c r="AN388" s="96"/>
      <c r="AO388" s="96"/>
      <c r="AP388" s="96"/>
      <c r="AQ388" s="96"/>
      <c r="AR388" s="96"/>
    </row>
    <row r="389" spans="1:44" s="6" customFormat="1" ht="15" hidden="1" customHeight="1">
      <c r="A389" s="106"/>
      <c r="B389" s="106"/>
      <c r="C389" s="106"/>
      <c r="D389" s="106"/>
      <c r="E389" s="106"/>
      <c r="F389" s="106"/>
      <c r="G389" s="106"/>
      <c r="H389" s="106"/>
      <c r="I389" s="106"/>
      <c r="J389" s="106"/>
      <c r="K389" s="106"/>
      <c r="L389" s="106"/>
      <c r="M389" s="106"/>
      <c r="N389" s="106"/>
      <c r="O389" s="106"/>
      <c r="P389" s="106"/>
      <c r="Q389" s="106"/>
      <c r="R389" s="106"/>
      <c r="S389" s="106"/>
      <c r="T389" s="106"/>
      <c r="U389" s="106"/>
      <c r="V389" s="106"/>
      <c r="W389" s="106"/>
      <c r="X389" s="106"/>
      <c r="Y389" s="106"/>
      <c r="Z389" s="106"/>
      <c r="AA389" s="106"/>
      <c r="AB389" s="106"/>
      <c r="AC389" s="106"/>
      <c r="AD389" s="106"/>
      <c r="AE389" s="106"/>
      <c r="AF389" s="106"/>
      <c r="AG389" s="106"/>
      <c r="AH389" s="106"/>
      <c r="AI389" s="106"/>
      <c r="AJ389" s="106"/>
      <c r="AM389" s="96"/>
      <c r="AN389" s="96"/>
      <c r="AO389" s="96"/>
      <c r="AP389" s="96"/>
      <c r="AQ389" s="96"/>
      <c r="AR389" s="96"/>
    </row>
    <row r="390" spans="1:44" s="6" customFormat="1" ht="15" hidden="1" customHeight="1">
      <c r="A390" s="106"/>
      <c r="B390" s="106"/>
      <c r="C390" s="106"/>
      <c r="D390" s="106"/>
      <c r="E390" s="106"/>
      <c r="F390" s="106"/>
      <c r="G390" s="106"/>
      <c r="H390" s="106"/>
      <c r="I390" s="106"/>
      <c r="J390" s="106"/>
      <c r="K390" s="106"/>
      <c r="L390" s="106"/>
      <c r="M390" s="106"/>
      <c r="N390" s="106"/>
      <c r="O390" s="106"/>
      <c r="P390" s="106"/>
      <c r="Q390" s="106"/>
      <c r="R390" s="106"/>
      <c r="S390" s="106"/>
      <c r="T390" s="106"/>
      <c r="U390" s="106"/>
      <c r="V390" s="106"/>
      <c r="W390" s="106"/>
      <c r="X390" s="106"/>
      <c r="Y390" s="106"/>
      <c r="Z390" s="106"/>
      <c r="AA390" s="106"/>
      <c r="AB390" s="106"/>
      <c r="AC390" s="106"/>
      <c r="AD390" s="106"/>
      <c r="AE390" s="106"/>
      <c r="AF390" s="106"/>
      <c r="AG390" s="106"/>
      <c r="AH390" s="106"/>
      <c r="AI390" s="106"/>
      <c r="AJ390" s="106"/>
      <c r="AM390" s="96"/>
      <c r="AN390" s="96"/>
      <c r="AO390" s="96"/>
      <c r="AP390" s="96"/>
      <c r="AQ390" s="96"/>
      <c r="AR390" s="96"/>
    </row>
    <row r="391" spans="1:44" s="6" customFormat="1" ht="30" hidden="1" customHeight="1">
      <c r="A391" s="106"/>
      <c r="B391" s="106"/>
      <c r="C391" s="106"/>
      <c r="D391" s="106"/>
      <c r="E391" s="106"/>
      <c r="F391" s="106"/>
      <c r="G391" s="106"/>
      <c r="H391" s="106"/>
      <c r="I391" s="106"/>
      <c r="J391" s="106"/>
      <c r="K391" s="106"/>
      <c r="L391" s="106"/>
      <c r="M391" s="106"/>
      <c r="N391" s="106"/>
      <c r="O391" s="106"/>
      <c r="P391" s="106"/>
      <c r="Q391" s="106"/>
      <c r="R391" s="106"/>
      <c r="S391" s="106"/>
      <c r="T391" s="106"/>
      <c r="U391" s="106"/>
      <c r="V391" s="106"/>
      <c r="W391" s="106"/>
      <c r="X391" s="106"/>
      <c r="Y391" s="106"/>
      <c r="Z391" s="106"/>
      <c r="AA391" s="106"/>
      <c r="AB391" s="106"/>
      <c r="AC391" s="106"/>
      <c r="AD391" s="106"/>
      <c r="AE391" s="106"/>
      <c r="AF391" s="106"/>
      <c r="AG391" s="106"/>
      <c r="AH391" s="106"/>
      <c r="AI391" s="106"/>
      <c r="AJ391" s="106"/>
      <c r="AM391" s="96"/>
      <c r="AN391" s="96"/>
      <c r="AO391" s="96"/>
      <c r="AP391" s="96"/>
      <c r="AQ391" s="96"/>
      <c r="AR391" s="96"/>
    </row>
    <row r="392" spans="1:44" s="6" customFormat="1" ht="15" hidden="1" customHeight="1">
      <c r="A392" s="106"/>
      <c r="B392" s="106"/>
      <c r="C392" s="106"/>
      <c r="D392" s="106"/>
      <c r="E392" s="106"/>
      <c r="F392" s="106"/>
      <c r="G392" s="106"/>
      <c r="H392" s="106"/>
      <c r="I392" s="106"/>
      <c r="J392" s="106"/>
      <c r="K392" s="106"/>
      <c r="L392" s="106"/>
      <c r="M392" s="106"/>
      <c r="N392" s="106"/>
      <c r="O392" s="106"/>
      <c r="P392" s="106"/>
      <c r="Q392" s="106"/>
      <c r="R392" s="106"/>
      <c r="S392" s="106"/>
      <c r="T392" s="106"/>
      <c r="U392" s="106"/>
      <c r="V392" s="106"/>
      <c r="W392" s="106"/>
      <c r="X392" s="106"/>
      <c r="Y392" s="106"/>
      <c r="Z392" s="106"/>
      <c r="AA392" s="106"/>
      <c r="AB392" s="106"/>
      <c r="AC392" s="106"/>
      <c r="AD392" s="106"/>
      <c r="AE392" s="106"/>
      <c r="AF392" s="106"/>
      <c r="AG392" s="106"/>
      <c r="AH392" s="106"/>
      <c r="AI392" s="106"/>
      <c r="AJ392" s="106"/>
      <c r="AM392" s="96"/>
      <c r="AN392" s="96"/>
      <c r="AO392" s="96"/>
      <c r="AP392" s="96"/>
      <c r="AQ392" s="96"/>
      <c r="AR392" s="96"/>
    </row>
    <row r="393" spans="1:44" s="6" customFormat="1" ht="15" hidden="1" customHeight="1">
      <c r="A393" s="106"/>
      <c r="B393" s="106"/>
      <c r="C393" s="106"/>
      <c r="D393" s="106"/>
      <c r="E393" s="106"/>
      <c r="F393" s="106"/>
      <c r="G393" s="106"/>
      <c r="H393" s="106"/>
      <c r="I393" s="106"/>
      <c r="J393" s="106"/>
      <c r="K393" s="106"/>
      <c r="L393" s="106"/>
      <c r="M393" s="106"/>
      <c r="N393" s="106"/>
      <c r="O393" s="106"/>
      <c r="P393" s="106"/>
      <c r="Q393" s="106"/>
      <c r="R393" s="106"/>
      <c r="S393" s="106"/>
      <c r="T393" s="106"/>
      <c r="U393" s="106"/>
      <c r="V393" s="106"/>
      <c r="W393" s="106"/>
      <c r="X393" s="106"/>
      <c r="Y393" s="106"/>
      <c r="Z393" s="106"/>
      <c r="AA393" s="106"/>
      <c r="AB393" s="106"/>
      <c r="AC393" s="106"/>
      <c r="AD393" s="106"/>
      <c r="AE393" s="106"/>
      <c r="AF393" s="106"/>
      <c r="AG393" s="106"/>
      <c r="AH393" s="106"/>
      <c r="AI393" s="106"/>
      <c r="AJ393" s="106"/>
      <c r="AM393" s="96"/>
      <c r="AN393" s="96"/>
      <c r="AO393" s="96"/>
      <c r="AP393" s="96"/>
      <c r="AQ393" s="96"/>
      <c r="AR393" s="96"/>
    </row>
    <row r="394" spans="1:44" s="6" customFormat="1" ht="30" hidden="1" customHeight="1">
      <c r="A394" s="106"/>
      <c r="B394" s="106"/>
      <c r="C394" s="106"/>
      <c r="D394" s="106"/>
      <c r="E394" s="106"/>
      <c r="F394" s="106"/>
      <c r="G394" s="106"/>
      <c r="H394" s="106"/>
      <c r="I394" s="106"/>
      <c r="J394" s="106"/>
      <c r="K394" s="106"/>
      <c r="L394" s="106"/>
      <c r="M394" s="106"/>
      <c r="N394" s="106"/>
      <c r="O394" s="106"/>
      <c r="P394" s="106"/>
      <c r="Q394" s="106"/>
      <c r="R394" s="106"/>
      <c r="S394" s="106"/>
      <c r="T394" s="106"/>
      <c r="U394" s="106"/>
      <c r="V394" s="106"/>
      <c r="W394" s="106"/>
      <c r="X394" s="106"/>
      <c r="Y394" s="106"/>
      <c r="Z394" s="106"/>
      <c r="AA394" s="106"/>
      <c r="AB394" s="106"/>
      <c r="AC394" s="106"/>
      <c r="AD394" s="106"/>
      <c r="AE394" s="106"/>
      <c r="AF394" s="106"/>
      <c r="AG394" s="106"/>
      <c r="AH394" s="106"/>
      <c r="AI394" s="106"/>
      <c r="AJ394" s="106"/>
      <c r="AM394" s="96"/>
      <c r="AN394" s="96"/>
      <c r="AO394" s="96"/>
      <c r="AP394" s="96"/>
      <c r="AQ394" s="96"/>
      <c r="AR394" s="96"/>
    </row>
    <row r="395" spans="1:44" s="6" customFormat="1" ht="15" hidden="1" customHeight="1">
      <c r="A395" s="106"/>
      <c r="B395" s="106"/>
      <c r="C395" s="106"/>
      <c r="D395" s="106"/>
      <c r="E395" s="106"/>
      <c r="F395" s="106"/>
      <c r="G395" s="106"/>
      <c r="H395" s="106"/>
      <c r="I395" s="106"/>
      <c r="J395" s="106"/>
      <c r="K395" s="106"/>
      <c r="L395" s="106"/>
      <c r="M395" s="106"/>
      <c r="N395" s="106"/>
      <c r="O395" s="106"/>
      <c r="P395" s="106"/>
      <c r="Q395" s="106"/>
      <c r="R395" s="106"/>
      <c r="S395" s="106"/>
      <c r="T395" s="106"/>
      <c r="U395" s="106"/>
      <c r="V395" s="106"/>
      <c r="W395" s="106"/>
      <c r="X395" s="106"/>
      <c r="Y395" s="106"/>
      <c r="Z395" s="106"/>
      <c r="AA395" s="106"/>
      <c r="AB395" s="106"/>
      <c r="AC395" s="106"/>
      <c r="AD395" s="106"/>
      <c r="AE395" s="106"/>
      <c r="AF395" s="106"/>
      <c r="AG395" s="106"/>
      <c r="AH395" s="106"/>
      <c r="AI395" s="106"/>
      <c r="AJ395" s="106"/>
      <c r="AM395" s="96"/>
      <c r="AN395" s="96"/>
      <c r="AO395" s="96"/>
      <c r="AP395" s="96"/>
      <c r="AQ395" s="96"/>
      <c r="AR395" s="96"/>
    </row>
    <row r="396" spans="1:44" s="6" customFormat="1" ht="15" hidden="1" customHeight="1">
      <c r="A396" s="106"/>
      <c r="B396" s="106"/>
      <c r="C396" s="106"/>
      <c r="D396" s="106"/>
      <c r="E396" s="106"/>
      <c r="F396" s="106"/>
      <c r="G396" s="106"/>
      <c r="H396" s="106"/>
      <c r="I396" s="106"/>
      <c r="J396" s="106"/>
      <c r="K396" s="106"/>
      <c r="L396" s="106"/>
      <c r="M396" s="106"/>
      <c r="N396" s="106"/>
      <c r="O396" s="106"/>
      <c r="P396" s="106"/>
      <c r="Q396" s="106"/>
      <c r="R396" s="106"/>
      <c r="S396" s="106"/>
      <c r="T396" s="106"/>
      <c r="U396" s="106"/>
      <c r="V396" s="106"/>
      <c r="W396" s="106"/>
      <c r="X396" s="106"/>
      <c r="Y396" s="106"/>
      <c r="Z396" s="106"/>
      <c r="AA396" s="106"/>
      <c r="AB396" s="106"/>
      <c r="AC396" s="106"/>
      <c r="AD396" s="106"/>
      <c r="AE396" s="106"/>
      <c r="AF396" s="106"/>
      <c r="AG396" s="106"/>
      <c r="AH396" s="106"/>
      <c r="AI396" s="106"/>
      <c r="AJ396" s="106"/>
      <c r="AM396" s="96"/>
      <c r="AN396" s="96"/>
      <c r="AO396" s="96"/>
      <c r="AP396" s="96"/>
      <c r="AQ396" s="96"/>
      <c r="AR396" s="96"/>
    </row>
    <row r="397" spans="1:44" s="6" customFormat="1" ht="15" hidden="1" customHeight="1">
      <c r="A397" s="106"/>
      <c r="B397" s="106"/>
      <c r="C397" s="106"/>
      <c r="D397" s="106"/>
      <c r="E397" s="106"/>
      <c r="F397" s="106"/>
      <c r="G397" s="106"/>
      <c r="H397" s="106"/>
      <c r="I397" s="106"/>
      <c r="J397" s="106"/>
      <c r="K397" s="106"/>
      <c r="L397" s="106"/>
      <c r="M397" s="106"/>
      <c r="N397" s="106"/>
      <c r="O397" s="106"/>
      <c r="P397" s="106"/>
      <c r="Q397" s="106"/>
      <c r="R397" s="106"/>
      <c r="S397" s="106"/>
      <c r="T397" s="106"/>
      <c r="U397" s="106"/>
      <c r="V397" s="106"/>
      <c r="W397" s="106"/>
      <c r="X397" s="106"/>
      <c r="Y397" s="106"/>
      <c r="Z397" s="106"/>
      <c r="AA397" s="106"/>
      <c r="AB397" s="106"/>
      <c r="AC397" s="106"/>
      <c r="AD397" s="106"/>
      <c r="AE397" s="106"/>
      <c r="AF397" s="106"/>
      <c r="AG397" s="106"/>
      <c r="AH397" s="106"/>
      <c r="AI397" s="106"/>
      <c r="AJ397" s="106"/>
      <c r="AM397" s="96"/>
      <c r="AN397" s="96"/>
      <c r="AO397" s="96"/>
      <c r="AP397" s="96"/>
      <c r="AQ397" s="96"/>
      <c r="AR397" s="96"/>
    </row>
    <row r="398" spans="1:44" s="6" customFormat="1" ht="15" hidden="1" customHeight="1">
      <c r="A398" s="106"/>
      <c r="B398" s="106"/>
      <c r="C398" s="106"/>
      <c r="D398" s="106"/>
      <c r="E398" s="106"/>
      <c r="F398" s="106"/>
      <c r="G398" s="106"/>
      <c r="H398" s="106"/>
      <c r="I398" s="106"/>
      <c r="J398" s="106"/>
      <c r="K398" s="106"/>
      <c r="L398" s="106"/>
      <c r="M398" s="106"/>
      <c r="N398" s="106"/>
      <c r="O398" s="106"/>
      <c r="P398" s="106"/>
      <c r="Q398" s="106"/>
      <c r="R398" s="106"/>
      <c r="S398" s="106"/>
      <c r="T398" s="106"/>
      <c r="U398" s="106"/>
      <c r="V398" s="106"/>
      <c r="W398" s="106"/>
      <c r="X398" s="106"/>
      <c r="Y398" s="106"/>
      <c r="Z398" s="106"/>
      <c r="AA398" s="106"/>
      <c r="AB398" s="106"/>
      <c r="AC398" s="106"/>
      <c r="AD398" s="106"/>
      <c r="AE398" s="106"/>
      <c r="AF398" s="106"/>
      <c r="AG398" s="106"/>
      <c r="AH398" s="106"/>
      <c r="AI398" s="106"/>
      <c r="AJ398" s="106"/>
      <c r="AM398" s="96"/>
      <c r="AN398" s="96"/>
      <c r="AO398" s="96"/>
      <c r="AP398" s="96"/>
      <c r="AQ398" s="96"/>
      <c r="AR398" s="96"/>
    </row>
    <row r="399" spans="1:44" s="6" customFormat="1" ht="15" hidden="1" customHeight="1">
      <c r="A399" s="106"/>
      <c r="B399" s="106"/>
      <c r="C399" s="106"/>
      <c r="D399" s="106"/>
      <c r="E399" s="106"/>
      <c r="F399" s="106"/>
      <c r="G399" s="106"/>
      <c r="H399" s="106"/>
      <c r="I399" s="106"/>
      <c r="J399" s="106"/>
      <c r="K399" s="106"/>
      <c r="L399" s="106"/>
      <c r="M399" s="106"/>
      <c r="N399" s="106"/>
      <c r="O399" s="106"/>
      <c r="P399" s="106"/>
      <c r="Q399" s="106"/>
      <c r="R399" s="106"/>
      <c r="S399" s="106"/>
      <c r="T399" s="106"/>
      <c r="U399" s="106"/>
      <c r="V399" s="106"/>
      <c r="W399" s="106"/>
      <c r="X399" s="106"/>
      <c r="Y399" s="106"/>
      <c r="Z399" s="106"/>
      <c r="AA399" s="106"/>
      <c r="AB399" s="106"/>
      <c r="AC399" s="106"/>
      <c r="AD399" s="106"/>
      <c r="AE399" s="106"/>
      <c r="AF399" s="106"/>
      <c r="AG399" s="106"/>
      <c r="AH399" s="106"/>
      <c r="AI399" s="106"/>
      <c r="AJ399" s="106"/>
      <c r="AM399" s="96"/>
      <c r="AN399" s="96"/>
      <c r="AO399" s="96"/>
      <c r="AP399" s="96"/>
      <c r="AQ399" s="96"/>
      <c r="AR399" s="96"/>
    </row>
    <row r="400" spans="1:44" s="6" customFormat="1" ht="15" hidden="1" customHeight="1">
      <c r="A400" s="106"/>
      <c r="B400" s="106"/>
      <c r="C400" s="106"/>
      <c r="D400" s="106"/>
      <c r="E400" s="106"/>
      <c r="F400" s="106"/>
      <c r="G400" s="106"/>
      <c r="H400" s="106"/>
      <c r="I400" s="106"/>
      <c r="J400" s="106"/>
      <c r="K400" s="106"/>
      <c r="L400" s="106"/>
      <c r="M400" s="106"/>
      <c r="N400" s="106"/>
      <c r="O400" s="106"/>
      <c r="P400" s="106"/>
      <c r="Q400" s="106"/>
      <c r="R400" s="106"/>
      <c r="S400" s="106"/>
      <c r="T400" s="106"/>
      <c r="U400" s="106"/>
      <c r="V400" s="106"/>
      <c r="W400" s="106"/>
      <c r="X400" s="106"/>
      <c r="Y400" s="106"/>
      <c r="Z400" s="106"/>
      <c r="AA400" s="106"/>
      <c r="AB400" s="106"/>
      <c r="AC400" s="106"/>
      <c r="AD400" s="106"/>
      <c r="AE400" s="106"/>
      <c r="AF400" s="106"/>
      <c r="AG400" s="106"/>
      <c r="AH400" s="106"/>
      <c r="AI400" s="106"/>
      <c r="AJ400" s="106"/>
      <c r="AM400" s="96"/>
      <c r="AN400" s="96"/>
      <c r="AO400" s="96"/>
      <c r="AP400" s="96"/>
      <c r="AQ400" s="96"/>
      <c r="AR400" s="96"/>
    </row>
    <row r="401" spans="1:44" s="6" customFormat="1" ht="15" hidden="1" customHeight="1">
      <c r="A401" s="106"/>
      <c r="B401" s="106"/>
      <c r="C401" s="106"/>
      <c r="D401" s="106"/>
      <c r="E401" s="106"/>
      <c r="F401" s="106"/>
      <c r="G401" s="106"/>
      <c r="H401" s="106"/>
      <c r="I401" s="106"/>
      <c r="J401" s="106"/>
      <c r="K401" s="106"/>
      <c r="L401" s="106"/>
      <c r="M401" s="106"/>
      <c r="N401" s="106"/>
      <c r="O401" s="106"/>
      <c r="P401" s="106"/>
      <c r="Q401" s="106"/>
      <c r="R401" s="106"/>
      <c r="S401" s="106"/>
      <c r="T401" s="106"/>
      <c r="U401" s="106"/>
      <c r="V401" s="106"/>
      <c r="W401" s="106"/>
      <c r="X401" s="106"/>
      <c r="Y401" s="106"/>
      <c r="Z401" s="106"/>
      <c r="AA401" s="106"/>
      <c r="AB401" s="106"/>
      <c r="AC401" s="106"/>
      <c r="AD401" s="106"/>
      <c r="AE401" s="106"/>
      <c r="AF401" s="106"/>
      <c r="AG401" s="106"/>
      <c r="AH401" s="106"/>
      <c r="AI401" s="106"/>
      <c r="AJ401" s="106"/>
      <c r="AM401" s="96"/>
      <c r="AN401" s="96"/>
      <c r="AO401" s="96"/>
      <c r="AP401" s="96"/>
      <c r="AQ401" s="96"/>
      <c r="AR401" s="96"/>
    </row>
    <row r="402" spans="1:44" s="6" customFormat="1" ht="15" hidden="1" customHeight="1">
      <c r="A402" s="106"/>
      <c r="B402" s="106"/>
      <c r="C402" s="106"/>
      <c r="D402" s="106"/>
      <c r="E402" s="106"/>
      <c r="F402" s="106"/>
      <c r="G402" s="106"/>
      <c r="H402" s="106"/>
      <c r="I402" s="106"/>
      <c r="J402" s="106"/>
      <c r="K402" s="106"/>
      <c r="L402" s="106"/>
      <c r="M402" s="106"/>
      <c r="N402" s="106"/>
      <c r="O402" s="106"/>
      <c r="P402" s="106"/>
      <c r="Q402" s="106"/>
      <c r="R402" s="106"/>
      <c r="S402" s="106"/>
      <c r="T402" s="106"/>
      <c r="U402" s="106"/>
      <c r="V402" s="106"/>
      <c r="W402" s="106"/>
      <c r="X402" s="106"/>
      <c r="Y402" s="106"/>
      <c r="Z402" s="106"/>
      <c r="AA402" s="106"/>
      <c r="AB402" s="106"/>
      <c r="AC402" s="106"/>
      <c r="AD402" s="106"/>
      <c r="AE402" s="106"/>
      <c r="AF402" s="106"/>
      <c r="AG402" s="106"/>
      <c r="AH402" s="106"/>
      <c r="AI402" s="106"/>
      <c r="AJ402" s="106"/>
      <c r="AM402" s="96"/>
      <c r="AN402" s="96"/>
      <c r="AO402" s="96"/>
      <c r="AP402" s="96"/>
      <c r="AQ402" s="96"/>
      <c r="AR402" s="96"/>
    </row>
    <row r="403" spans="1:44" s="6" customFormat="1" ht="15" hidden="1" customHeight="1">
      <c r="A403" s="106"/>
      <c r="B403" s="106"/>
      <c r="C403" s="106"/>
      <c r="D403" s="106"/>
      <c r="E403" s="106"/>
      <c r="F403" s="106"/>
      <c r="G403" s="106"/>
      <c r="H403" s="106"/>
      <c r="I403" s="106"/>
      <c r="J403" s="106"/>
      <c r="K403" s="106"/>
      <c r="L403" s="106"/>
      <c r="M403" s="106"/>
      <c r="N403" s="106"/>
      <c r="O403" s="106"/>
      <c r="P403" s="106"/>
      <c r="Q403" s="106"/>
      <c r="R403" s="106"/>
      <c r="S403" s="106"/>
      <c r="T403" s="106"/>
      <c r="U403" s="106"/>
      <c r="V403" s="106"/>
      <c r="W403" s="106"/>
      <c r="X403" s="106"/>
      <c r="Y403" s="106"/>
      <c r="Z403" s="106"/>
      <c r="AA403" s="106"/>
      <c r="AB403" s="106"/>
      <c r="AC403" s="106"/>
      <c r="AD403" s="106"/>
      <c r="AE403" s="106"/>
      <c r="AF403" s="106"/>
      <c r="AG403" s="106"/>
      <c r="AH403" s="106"/>
      <c r="AI403" s="106"/>
      <c r="AJ403" s="106"/>
      <c r="AM403" s="96"/>
      <c r="AN403" s="96"/>
      <c r="AO403" s="96"/>
      <c r="AP403" s="96"/>
      <c r="AQ403" s="96"/>
      <c r="AR403" s="96"/>
    </row>
    <row r="404" spans="1:44" s="6" customFormat="1" ht="15" hidden="1" customHeight="1">
      <c r="A404" s="106"/>
      <c r="B404" s="106"/>
      <c r="C404" s="106"/>
      <c r="D404" s="106"/>
      <c r="E404" s="106"/>
      <c r="F404" s="106"/>
      <c r="G404" s="106"/>
      <c r="H404" s="106"/>
      <c r="I404" s="106"/>
      <c r="J404" s="106"/>
      <c r="K404" s="106"/>
      <c r="L404" s="106"/>
      <c r="M404" s="106"/>
      <c r="N404" s="106"/>
      <c r="O404" s="106"/>
      <c r="P404" s="106"/>
      <c r="Q404" s="106"/>
      <c r="R404" s="106"/>
      <c r="S404" s="106"/>
      <c r="T404" s="106"/>
      <c r="U404" s="106"/>
      <c r="V404" s="106"/>
      <c r="W404" s="106"/>
      <c r="X404" s="106"/>
      <c r="Y404" s="106"/>
      <c r="Z404" s="106"/>
      <c r="AA404" s="106"/>
      <c r="AB404" s="106"/>
      <c r="AC404" s="106"/>
      <c r="AD404" s="106"/>
      <c r="AE404" s="106"/>
      <c r="AF404" s="106"/>
      <c r="AG404" s="106"/>
      <c r="AH404" s="106"/>
      <c r="AI404" s="106"/>
      <c r="AJ404" s="106"/>
      <c r="AM404" s="96"/>
      <c r="AN404" s="96"/>
      <c r="AO404" s="96"/>
      <c r="AP404" s="96"/>
      <c r="AQ404" s="96"/>
      <c r="AR404" s="96"/>
    </row>
    <row r="405" spans="1:44" s="6" customFormat="1" ht="15" hidden="1" customHeight="1">
      <c r="A405" s="106"/>
      <c r="B405" s="106"/>
      <c r="C405" s="106"/>
      <c r="D405" s="106"/>
      <c r="E405" s="106"/>
      <c r="F405" s="106"/>
      <c r="G405" s="106"/>
      <c r="H405" s="106"/>
      <c r="I405" s="106"/>
      <c r="J405" s="106"/>
      <c r="K405" s="106"/>
      <c r="L405" s="106"/>
      <c r="M405" s="106"/>
      <c r="N405" s="106"/>
      <c r="O405" s="106"/>
      <c r="P405" s="106"/>
      <c r="Q405" s="106"/>
      <c r="R405" s="106"/>
      <c r="S405" s="106"/>
      <c r="T405" s="106"/>
      <c r="U405" s="106"/>
      <c r="V405" s="106"/>
      <c r="W405" s="106"/>
      <c r="X405" s="106"/>
      <c r="Y405" s="106"/>
      <c r="Z405" s="106"/>
      <c r="AA405" s="106"/>
      <c r="AB405" s="106"/>
      <c r="AC405" s="106"/>
      <c r="AD405" s="106"/>
      <c r="AE405" s="106"/>
      <c r="AF405" s="106"/>
      <c r="AG405" s="106"/>
      <c r="AH405" s="106"/>
      <c r="AI405" s="106"/>
      <c r="AJ405" s="106"/>
      <c r="AM405" s="96"/>
      <c r="AN405" s="96"/>
      <c r="AO405" s="96"/>
      <c r="AP405" s="96"/>
      <c r="AQ405" s="96"/>
      <c r="AR405" s="96"/>
    </row>
    <row r="406" spans="1:44" s="6" customFormat="1" ht="15" hidden="1" customHeight="1">
      <c r="A406" s="106"/>
      <c r="B406" s="106"/>
      <c r="C406" s="106"/>
      <c r="D406" s="106"/>
      <c r="E406" s="106"/>
      <c r="F406" s="106"/>
      <c r="G406" s="106"/>
      <c r="H406" s="106"/>
      <c r="I406" s="106"/>
      <c r="J406" s="106"/>
      <c r="K406" s="106"/>
      <c r="L406" s="106"/>
      <c r="M406" s="106"/>
      <c r="N406" s="106"/>
      <c r="O406" s="106"/>
      <c r="P406" s="106"/>
      <c r="Q406" s="106"/>
      <c r="R406" s="106"/>
      <c r="S406" s="106"/>
      <c r="T406" s="106"/>
      <c r="U406" s="106"/>
      <c r="V406" s="106"/>
      <c r="W406" s="106"/>
      <c r="X406" s="106"/>
      <c r="Y406" s="106"/>
      <c r="Z406" s="106"/>
      <c r="AA406" s="106"/>
      <c r="AB406" s="106"/>
      <c r="AC406" s="106"/>
      <c r="AD406" s="106"/>
      <c r="AE406" s="106"/>
      <c r="AF406" s="106"/>
      <c r="AG406" s="106"/>
      <c r="AH406" s="106"/>
      <c r="AI406" s="106"/>
      <c r="AJ406" s="106"/>
      <c r="AM406" s="96"/>
      <c r="AN406" s="96"/>
      <c r="AO406" s="96"/>
      <c r="AP406" s="96"/>
      <c r="AQ406" s="96"/>
      <c r="AR406" s="96"/>
    </row>
    <row r="407" spans="1:44" s="6" customFormat="1" ht="15" hidden="1" customHeight="1">
      <c r="A407" s="106"/>
      <c r="B407" s="106"/>
      <c r="C407" s="106"/>
      <c r="D407" s="106"/>
      <c r="E407" s="106"/>
      <c r="F407" s="106"/>
      <c r="G407" s="106"/>
      <c r="H407" s="106"/>
      <c r="I407" s="106"/>
      <c r="J407" s="106"/>
      <c r="K407" s="106"/>
      <c r="L407" s="106"/>
      <c r="M407" s="106"/>
      <c r="N407" s="106"/>
      <c r="O407" s="106"/>
      <c r="P407" s="106"/>
      <c r="Q407" s="106"/>
      <c r="R407" s="106"/>
      <c r="S407" s="106"/>
      <c r="T407" s="106"/>
      <c r="U407" s="106"/>
      <c r="V407" s="106"/>
      <c r="W407" s="106"/>
      <c r="X407" s="106"/>
      <c r="Y407" s="106"/>
      <c r="Z407" s="106"/>
      <c r="AA407" s="106"/>
      <c r="AB407" s="106"/>
      <c r="AC407" s="106"/>
      <c r="AD407" s="106"/>
      <c r="AE407" s="106"/>
      <c r="AF407" s="106"/>
      <c r="AG407" s="106"/>
      <c r="AH407" s="106"/>
      <c r="AI407" s="106"/>
      <c r="AJ407" s="106"/>
      <c r="AM407" s="96"/>
      <c r="AN407" s="96"/>
      <c r="AO407" s="96"/>
      <c r="AP407" s="96"/>
      <c r="AQ407" s="96"/>
      <c r="AR407" s="96"/>
    </row>
    <row r="408" spans="1:44" s="6" customFormat="1" ht="15" hidden="1" customHeight="1">
      <c r="A408" s="106"/>
      <c r="B408" s="106"/>
      <c r="C408" s="106"/>
      <c r="D408" s="106"/>
      <c r="E408" s="106"/>
      <c r="F408" s="106"/>
      <c r="G408" s="106"/>
      <c r="H408" s="106"/>
      <c r="I408" s="106"/>
      <c r="J408" s="106"/>
      <c r="K408" s="106"/>
      <c r="L408" s="106"/>
      <c r="M408" s="106"/>
      <c r="N408" s="106"/>
      <c r="O408" s="106"/>
      <c r="P408" s="106"/>
      <c r="Q408" s="106"/>
      <c r="R408" s="106"/>
      <c r="S408" s="106"/>
      <c r="T408" s="106"/>
      <c r="U408" s="106"/>
      <c r="V408" s="106"/>
      <c r="W408" s="106"/>
      <c r="X408" s="106"/>
      <c r="Y408" s="106"/>
      <c r="Z408" s="106"/>
      <c r="AA408" s="106"/>
      <c r="AB408" s="106"/>
      <c r="AC408" s="106"/>
      <c r="AD408" s="106"/>
      <c r="AE408" s="106"/>
      <c r="AF408" s="106"/>
      <c r="AG408" s="106"/>
      <c r="AH408" s="106"/>
      <c r="AI408" s="106"/>
      <c r="AJ408" s="106"/>
      <c r="AM408" s="96"/>
      <c r="AN408" s="96"/>
      <c r="AO408" s="96"/>
      <c r="AP408" s="96"/>
      <c r="AQ408" s="96"/>
      <c r="AR408" s="96"/>
    </row>
    <row r="409" spans="1:44" s="6" customFormat="1" ht="15" hidden="1" customHeight="1">
      <c r="A409" s="106"/>
      <c r="B409" s="106"/>
      <c r="C409" s="106"/>
      <c r="D409" s="106"/>
      <c r="E409" s="106"/>
      <c r="F409" s="106"/>
      <c r="G409" s="106"/>
      <c r="H409" s="106"/>
      <c r="I409" s="106"/>
      <c r="J409" s="106"/>
      <c r="K409" s="106"/>
      <c r="L409" s="106"/>
      <c r="M409" s="106"/>
      <c r="N409" s="106"/>
      <c r="O409" s="106"/>
      <c r="P409" s="106"/>
      <c r="Q409" s="106"/>
      <c r="R409" s="106"/>
      <c r="S409" s="106"/>
      <c r="T409" s="106"/>
      <c r="U409" s="106"/>
      <c r="V409" s="106"/>
      <c r="W409" s="106"/>
      <c r="X409" s="106"/>
      <c r="Y409" s="106"/>
      <c r="Z409" s="106"/>
      <c r="AA409" s="106"/>
      <c r="AB409" s="106"/>
      <c r="AC409" s="106"/>
      <c r="AD409" s="106"/>
      <c r="AE409" s="106"/>
      <c r="AF409" s="106"/>
      <c r="AG409" s="106"/>
      <c r="AH409" s="106"/>
      <c r="AI409" s="106"/>
      <c r="AJ409" s="106"/>
      <c r="AM409" s="96"/>
      <c r="AN409" s="96"/>
      <c r="AO409" s="96"/>
      <c r="AP409" s="96"/>
      <c r="AQ409" s="96"/>
      <c r="AR409" s="96"/>
    </row>
    <row r="413" spans="1:44" s="6" customFormat="1" ht="15" hidden="1" customHeight="1">
      <c r="A413" s="106"/>
      <c r="B413" s="106"/>
      <c r="C413" s="106"/>
      <c r="D413" s="106"/>
      <c r="E413" s="106"/>
      <c r="F413" s="106"/>
      <c r="G413" s="106"/>
      <c r="H413" s="106"/>
      <c r="I413" s="106"/>
      <c r="J413" s="106"/>
      <c r="K413" s="106"/>
      <c r="L413" s="106"/>
      <c r="M413" s="106"/>
      <c r="N413" s="106"/>
      <c r="O413" s="106"/>
      <c r="P413" s="106"/>
      <c r="Q413" s="106"/>
      <c r="R413" s="106"/>
      <c r="S413" s="106"/>
      <c r="T413" s="106"/>
      <c r="U413" s="106"/>
      <c r="V413" s="106"/>
      <c r="W413" s="106"/>
      <c r="X413" s="106"/>
      <c r="Y413" s="106"/>
      <c r="Z413" s="106"/>
      <c r="AA413" s="106"/>
      <c r="AB413" s="106"/>
      <c r="AC413" s="106"/>
      <c r="AD413" s="106"/>
      <c r="AE413" s="106"/>
      <c r="AF413" s="106"/>
      <c r="AG413" s="106"/>
      <c r="AH413" s="106"/>
      <c r="AI413" s="106"/>
      <c r="AJ413" s="106"/>
      <c r="AM413" s="96"/>
      <c r="AN413" s="96"/>
      <c r="AO413" s="96"/>
      <c r="AP413" s="96"/>
      <c r="AQ413" s="96"/>
      <c r="AR413" s="96"/>
    </row>
    <row r="414" spans="1:44" s="6" customFormat="1" ht="15" hidden="1" customHeight="1">
      <c r="A414" s="106"/>
      <c r="B414" s="106"/>
      <c r="C414" s="106"/>
      <c r="D414" s="106"/>
      <c r="E414" s="106"/>
      <c r="F414" s="106"/>
      <c r="G414" s="106"/>
      <c r="H414" s="106"/>
      <c r="I414" s="106"/>
      <c r="J414" s="106"/>
      <c r="K414" s="106"/>
      <c r="L414" s="106"/>
      <c r="M414" s="106"/>
      <c r="N414" s="106"/>
      <c r="O414" s="106"/>
      <c r="P414" s="106"/>
      <c r="Q414" s="106"/>
      <c r="R414" s="106"/>
      <c r="S414" s="106"/>
      <c r="T414" s="106"/>
      <c r="U414" s="106"/>
      <c r="V414" s="106"/>
      <c r="W414" s="106"/>
      <c r="X414" s="106"/>
      <c r="Y414" s="106"/>
      <c r="Z414" s="106"/>
      <c r="AA414" s="106"/>
      <c r="AB414" s="106"/>
      <c r="AC414" s="106"/>
      <c r="AD414" s="106"/>
      <c r="AE414" s="106"/>
      <c r="AF414" s="106"/>
      <c r="AG414" s="106"/>
      <c r="AH414" s="106"/>
      <c r="AI414" s="106"/>
      <c r="AJ414" s="106"/>
      <c r="AM414" s="96"/>
      <c r="AN414" s="96"/>
      <c r="AO414" s="96"/>
      <c r="AP414" s="96"/>
      <c r="AQ414" s="96"/>
      <c r="AR414" s="96"/>
    </row>
    <row r="415" spans="1:44" s="6" customFormat="1" ht="15" hidden="1" customHeight="1">
      <c r="A415" s="106"/>
      <c r="B415" s="106"/>
      <c r="C415" s="106"/>
      <c r="D415" s="106"/>
      <c r="E415" s="106"/>
      <c r="F415" s="106"/>
      <c r="G415" s="106"/>
      <c r="H415" s="106"/>
      <c r="I415" s="106"/>
      <c r="J415" s="106"/>
      <c r="K415" s="106"/>
      <c r="L415" s="106"/>
      <c r="M415" s="106"/>
      <c r="N415" s="106"/>
      <c r="O415" s="106"/>
      <c r="P415" s="106"/>
      <c r="Q415" s="106"/>
      <c r="R415" s="106"/>
      <c r="S415" s="106"/>
      <c r="T415" s="106"/>
      <c r="U415" s="106"/>
      <c r="V415" s="106"/>
      <c r="W415" s="106"/>
      <c r="X415" s="106"/>
      <c r="Y415" s="106"/>
      <c r="Z415" s="106"/>
      <c r="AA415" s="106"/>
      <c r="AB415" s="106"/>
      <c r="AC415" s="106"/>
      <c r="AD415" s="106"/>
      <c r="AE415" s="106"/>
      <c r="AF415" s="106"/>
      <c r="AG415" s="106"/>
      <c r="AH415" s="106"/>
      <c r="AI415" s="106"/>
      <c r="AJ415" s="106"/>
      <c r="AM415" s="96"/>
      <c r="AN415" s="96"/>
      <c r="AO415" s="96"/>
      <c r="AP415" s="96"/>
      <c r="AQ415" s="96"/>
      <c r="AR415" s="96"/>
    </row>
    <row r="416" spans="1:44" s="6" customFormat="1" ht="15" hidden="1" customHeight="1">
      <c r="A416" s="106"/>
      <c r="B416" s="106"/>
      <c r="C416" s="106"/>
      <c r="D416" s="106"/>
      <c r="E416" s="106"/>
      <c r="F416" s="106"/>
      <c r="G416" s="106"/>
      <c r="H416" s="106"/>
      <c r="I416" s="106"/>
      <c r="J416" s="106"/>
      <c r="K416" s="106"/>
      <c r="L416" s="106"/>
      <c r="M416" s="106"/>
      <c r="N416" s="106"/>
      <c r="O416" s="106"/>
      <c r="P416" s="106"/>
      <c r="Q416" s="106"/>
      <c r="R416" s="106"/>
      <c r="S416" s="106"/>
      <c r="T416" s="106"/>
      <c r="U416" s="106"/>
      <c r="V416" s="106"/>
      <c r="W416" s="106"/>
      <c r="X416" s="106"/>
      <c r="Y416" s="106"/>
      <c r="Z416" s="106"/>
      <c r="AA416" s="106"/>
      <c r="AB416" s="106"/>
      <c r="AC416" s="106"/>
      <c r="AD416" s="106"/>
      <c r="AE416" s="106"/>
      <c r="AF416" s="106"/>
      <c r="AG416" s="106"/>
      <c r="AH416" s="106"/>
      <c r="AI416" s="106"/>
      <c r="AJ416" s="106"/>
      <c r="AM416" s="96"/>
      <c r="AN416" s="96"/>
      <c r="AO416" s="96"/>
      <c r="AP416" s="96"/>
      <c r="AQ416" s="96"/>
      <c r="AR416" s="96"/>
    </row>
    <row r="417" spans="1:44" s="6" customFormat="1" ht="15" hidden="1" customHeight="1">
      <c r="A417" s="106"/>
      <c r="B417" s="106"/>
      <c r="C417" s="106"/>
      <c r="D417" s="106"/>
      <c r="E417" s="106"/>
      <c r="F417" s="106"/>
      <c r="G417" s="106"/>
      <c r="H417" s="106"/>
      <c r="I417" s="106"/>
      <c r="J417" s="106"/>
      <c r="K417" s="106"/>
      <c r="L417" s="106"/>
      <c r="M417" s="106"/>
      <c r="N417" s="106"/>
      <c r="O417" s="106"/>
      <c r="P417" s="106"/>
      <c r="Q417" s="106"/>
      <c r="R417" s="106"/>
      <c r="S417" s="106"/>
      <c r="T417" s="106"/>
      <c r="U417" s="106"/>
      <c r="V417" s="106"/>
      <c r="W417" s="106"/>
      <c r="X417" s="106"/>
      <c r="Y417" s="106"/>
      <c r="Z417" s="106"/>
      <c r="AA417" s="106"/>
      <c r="AB417" s="106"/>
      <c r="AC417" s="106"/>
      <c r="AD417" s="106"/>
      <c r="AE417" s="106"/>
      <c r="AF417" s="106"/>
      <c r="AG417" s="106"/>
      <c r="AH417" s="106"/>
      <c r="AI417" s="106"/>
      <c r="AJ417" s="106"/>
      <c r="AM417" s="96"/>
      <c r="AN417" s="96"/>
      <c r="AO417" s="96"/>
      <c r="AP417" s="96"/>
      <c r="AQ417" s="96"/>
      <c r="AR417" s="96"/>
    </row>
    <row r="418" spans="1:44" s="6" customFormat="1" ht="15" hidden="1" customHeight="1">
      <c r="A418" s="106"/>
      <c r="B418" s="106"/>
      <c r="C418" s="106"/>
      <c r="D418" s="106"/>
      <c r="E418" s="106"/>
      <c r="F418" s="106"/>
      <c r="G418" s="106"/>
      <c r="H418" s="106"/>
      <c r="I418" s="106"/>
      <c r="J418" s="106"/>
      <c r="K418" s="106"/>
      <c r="L418" s="106"/>
      <c r="M418" s="106"/>
      <c r="N418" s="106"/>
      <c r="O418" s="106"/>
      <c r="P418" s="106"/>
      <c r="Q418" s="106"/>
      <c r="R418" s="106"/>
      <c r="S418" s="106"/>
      <c r="T418" s="106"/>
      <c r="U418" s="106"/>
      <c r="V418" s="106"/>
      <c r="W418" s="106"/>
      <c r="X418" s="106"/>
      <c r="Y418" s="106"/>
      <c r="Z418" s="106"/>
      <c r="AA418" s="106"/>
      <c r="AB418" s="106"/>
      <c r="AC418" s="106"/>
      <c r="AD418" s="106"/>
      <c r="AE418" s="106"/>
      <c r="AF418" s="106"/>
      <c r="AG418" s="106"/>
      <c r="AH418" s="106"/>
      <c r="AI418" s="106"/>
      <c r="AJ418" s="106"/>
      <c r="AM418" s="96"/>
      <c r="AN418" s="96"/>
      <c r="AO418" s="96"/>
      <c r="AP418" s="96"/>
      <c r="AQ418" s="96"/>
      <c r="AR418" s="96"/>
    </row>
    <row r="419" spans="1:44" s="6" customFormat="1" ht="15" hidden="1" customHeight="1">
      <c r="A419" s="106"/>
      <c r="B419" s="106"/>
      <c r="C419" s="106"/>
      <c r="D419" s="106"/>
      <c r="E419" s="106"/>
      <c r="F419" s="106"/>
      <c r="G419" s="106"/>
      <c r="H419" s="106"/>
      <c r="I419" s="106"/>
      <c r="J419" s="106"/>
      <c r="K419" s="106"/>
      <c r="L419" s="106"/>
      <c r="M419" s="106"/>
      <c r="N419" s="106"/>
      <c r="O419" s="106"/>
      <c r="P419" s="106"/>
      <c r="Q419" s="106"/>
      <c r="R419" s="106"/>
      <c r="S419" s="106"/>
      <c r="T419" s="106"/>
      <c r="U419" s="106"/>
      <c r="V419" s="106"/>
      <c r="W419" s="106"/>
      <c r="X419" s="106"/>
      <c r="Y419" s="106"/>
      <c r="Z419" s="106"/>
      <c r="AA419" s="106"/>
      <c r="AB419" s="106"/>
      <c r="AC419" s="106"/>
      <c r="AD419" s="106"/>
      <c r="AE419" s="106"/>
      <c r="AF419" s="106"/>
      <c r="AG419" s="106"/>
      <c r="AH419" s="106"/>
      <c r="AI419" s="106"/>
      <c r="AJ419" s="106"/>
      <c r="AM419" s="96"/>
      <c r="AN419" s="96"/>
      <c r="AO419" s="96"/>
      <c r="AP419" s="96"/>
      <c r="AQ419" s="96"/>
      <c r="AR419" s="96"/>
    </row>
    <row r="420" spans="1:44" s="6" customFormat="1" ht="15" hidden="1" customHeight="1">
      <c r="A420" s="106"/>
      <c r="B420" s="106"/>
      <c r="C420" s="106"/>
      <c r="D420" s="106"/>
      <c r="E420" s="106"/>
      <c r="F420" s="106"/>
      <c r="G420" s="106"/>
      <c r="H420" s="106"/>
      <c r="I420" s="106"/>
      <c r="J420" s="106"/>
      <c r="K420" s="106"/>
      <c r="L420" s="106"/>
      <c r="M420" s="106"/>
      <c r="N420" s="106"/>
      <c r="O420" s="106"/>
      <c r="P420" s="106"/>
      <c r="Q420" s="106"/>
      <c r="R420" s="106"/>
      <c r="S420" s="106"/>
      <c r="T420" s="106"/>
      <c r="U420" s="106"/>
      <c r="V420" s="106"/>
      <c r="W420" s="106"/>
      <c r="X420" s="106"/>
      <c r="Y420" s="106"/>
      <c r="Z420" s="106"/>
      <c r="AA420" s="106"/>
      <c r="AB420" s="106"/>
      <c r="AC420" s="106"/>
      <c r="AD420" s="106"/>
      <c r="AE420" s="106"/>
      <c r="AF420" s="106"/>
      <c r="AG420" s="106"/>
      <c r="AH420" s="106"/>
      <c r="AI420" s="106"/>
      <c r="AJ420" s="106"/>
      <c r="AM420" s="96"/>
      <c r="AN420" s="96"/>
      <c r="AO420" s="96"/>
      <c r="AP420" s="96"/>
      <c r="AQ420" s="96"/>
      <c r="AR420" s="96"/>
    </row>
    <row r="421" spans="1:44" s="6" customFormat="1" ht="15" hidden="1" customHeight="1">
      <c r="A421" s="106"/>
      <c r="B421" s="106"/>
      <c r="C421" s="106"/>
      <c r="D421" s="106"/>
      <c r="E421" s="106"/>
      <c r="F421" s="106"/>
      <c r="G421" s="106"/>
      <c r="H421" s="106"/>
      <c r="I421" s="106"/>
      <c r="J421" s="106"/>
      <c r="K421" s="106"/>
      <c r="L421" s="106"/>
      <c r="M421" s="106"/>
      <c r="N421" s="106"/>
      <c r="O421" s="106"/>
      <c r="P421" s="106"/>
      <c r="Q421" s="106"/>
      <c r="R421" s="106"/>
      <c r="S421" s="106"/>
      <c r="T421" s="106"/>
      <c r="U421" s="106"/>
      <c r="V421" s="106"/>
      <c r="W421" s="106"/>
      <c r="X421" s="106"/>
      <c r="Y421" s="106"/>
      <c r="Z421" s="106"/>
      <c r="AA421" s="106"/>
      <c r="AB421" s="106"/>
      <c r="AC421" s="106"/>
      <c r="AD421" s="106"/>
      <c r="AE421" s="106"/>
      <c r="AF421" s="106"/>
      <c r="AG421" s="106"/>
      <c r="AH421" s="106"/>
      <c r="AI421" s="106"/>
      <c r="AJ421" s="106"/>
      <c r="AM421" s="96"/>
      <c r="AN421" s="96"/>
      <c r="AO421" s="96"/>
      <c r="AP421" s="96"/>
      <c r="AQ421" s="96"/>
      <c r="AR421" s="96"/>
    </row>
    <row r="422" spans="1:44" s="6" customFormat="1" ht="15" hidden="1" customHeight="1">
      <c r="A422" s="106"/>
      <c r="B422" s="106"/>
      <c r="C422" s="106"/>
      <c r="D422" s="106"/>
      <c r="E422" s="106"/>
      <c r="F422" s="106"/>
      <c r="G422" s="106"/>
      <c r="H422" s="106"/>
      <c r="I422" s="106"/>
      <c r="J422" s="106"/>
      <c r="K422" s="106"/>
      <c r="L422" s="106"/>
      <c r="M422" s="106"/>
      <c r="N422" s="106"/>
      <c r="O422" s="106"/>
      <c r="P422" s="106"/>
      <c r="Q422" s="106"/>
      <c r="R422" s="106"/>
      <c r="S422" s="106"/>
      <c r="T422" s="106"/>
      <c r="U422" s="106"/>
      <c r="V422" s="106"/>
      <c r="W422" s="106"/>
      <c r="X422" s="106"/>
      <c r="Y422" s="106"/>
      <c r="Z422" s="106"/>
      <c r="AA422" s="106"/>
      <c r="AB422" s="106"/>
      <c r="AC422" s="106"/>
      <c r="AD422" s="106"/>
      <c r="AE422" s="106"/>
      <c r="AF422" s="106"/>
      <c r="AG422" s="106"/>
      <c r="AH422" s="106"/>
      <c r="AI422" s="106"/>
      <c r="AJ422" s="106"/>
      <c r="AM422" s="96"/>
      <c r="AN422" s="96"/>
      <c r="AO422" s="96"/>
      <c r="AP422" s="96"/>
      <c r="AQ422" s="96"/>
      <c r="AR422" s="96"/>
    </row>
    <row r="423" spans="1:44" s="6" customFormat="1" ht="15" hidden="1" customHeight="1">
      <c r="A423" s="106"/>
      <c r="B423" s="106"/>
      <c r="C423" s="106"/>
      <c r="D423" s="106"/>
      <c r="E423" s="106"/>
      <c r="F423" s="106"/>
      <c r="G423" s="106"/>
      <c r="H423" s="106"/>
      <c r="I423" s="106"/>
      <c r="J423" s="106"/>
      <c r="K423" s="106"/>
      <c r="L423" s="106"/>
      <c r="M423" s="106"/>
      <c r="N423" s="106"/>
      <c r="O423" s="106"/>
      <c r="P423" s="106"/>
      <c r="Q423" s="106"/>
      <c r="R423" s="106"/>
      <c r="S423" s="106"/>
      <c r="T423" s="106"/>
      <c r="U423" s="106"/>
      <c r="V423" s="106"/>
      <c r="W423" s="106"/>
      <c r="X423" s="106"/>
      <c r="Y423" s="106"/>
      <c r="Z423" s="106"/>
      <c r="AA423" s="106"/>
      <c r="AB423" s="106"/>
      <c r="AC423" s="106"/>
      <c r="AD423" s="106"/>
      <c r="AE423" s="106"/>
      <c r="AF423" s="106"/>
      <c r="AG423" s="106"/>
      <c r="AH423" s="106"/>
      <c r="AI423" s="106"/>
      <c r="AJ423" s="106"/>
      <c r="AM423" s="96"/>
      <c r="AN423" s="96"/>
      <c r="AO423" s="96"/>
      <c r="AP423" s="96"/>
      <c r="AQ423" s="96"/>
      <c r="AR423" s="96"/>
    </row>
    <row r="424" spans="1:44" s="6" customFormat="1" ht="15" hidden="1" customHeight="1">
      <c r="A424" s="106"/>
      <c r="B424" s="106"/>
      <c r="C424" s="106"/>
      <c r="D424" s="106"/>
      <c r="E424" s="106"/>
      <c r="F424" s="106"/>
      <c r="G424" s="106"/>
      <c r="H424" s="106"/>
      <c r="I424" s="106"/>
      <c r="J424" s="106"/>
      <c r="K424" s="106"/>
      <c r="L424" s="106"/>
      <c r="M424" s="106"/>
      <c r="N424" s="106"/>
      <c r="O424" s="106"/>
      <c r="P424" s="106"/>
      <c r="Q424" s="106"/>
      <c r="R424" s="106"/>
      <c r="S424" s="106"/>
      <c r="T424" s="106"/>
      <c r="U424" s="106"/>
      <c r="V424" s="106"/>
      <c r="W424" s="106"/>
      <c r="X424" s="106"/>
      <c r="Y424" s="106"/>
      <c r="Z424" s="106"/>
      <c r="AA424" s="106"/>
      <c r="AB424" s="106"/>
      <c r="AC424" s="106"/>
      <c r="AD424" s="106"/>
      <c r="AE424" s="106"/>
      <c r="AF424" s="106"/>
      <c r="AG424" s="106"/>
      <c r="AH424" s="106"/>
      <c r="AI424" s="106"/>
      <c r="AJ424" s="106"/>
      <c r="AM424" s="96"/>
      <c r="AN424" s="96"/>
      <c r="AO424" s="96"/>
      <c r="AP424" s="96"/>
      <c r="AQ424" s="96"/>
      <c r="AR424" s="96"/>
    </row>
    <row r="425" spans="1:44" s="6" customFormat="1" ht="15" hidden="1" customHeight="1">
      <c r="A425" s="106"/>
      <c r="B425" s="106"/>
      <c r="C425" s="106"/>
      <c r="D425" s="106"/>
      <c r="E425" s="106"/>
      <c r="F425" s="106"/>
      <c r="G425" s="106"/>
      <c r="H425" s="106"/>
      <c r="I425" s="106"/>
      <c r="J425" s="106"/>
      <c r="K425" s="106"/>
      <c r="L425" s="106"/>
      <c r="M425" s="106"/>
      <c r="N425" s="106"/>
      <c r="O425" s="106"/>
      <c r="P425" s="106"/>
      <c r="Q425" s="106"/>
      <c r="R425" s="106"/>
      <c r="S425" s="106"/>
      <c r="T425" s="106"/>
      <c r="U425" s="106"/>
      <c r="V425" s="106"/>
      <c r="W425" s="106"/>
      <c r="X425" s="106"/>
      <c r="Y425" s="106"/>
      <c r="Z425" s="106"/>
      <c r="AA425" s="106"/>
      <c r="AB425" s="106"/>
      <c r="AC425" s="106"/>
      <c r="AD425" s="106"/>
      <c r="AE425" s="106"/>
      <c r="AF425" s="106"/>
      <c r="AG425" s="106"/>
      <c r="AH425" s="106"/>
      <c r="AI425" s="106"/>
      <c r="AJ425" s="106"/>
      <c r="AM425" s="96"/>
      <c r="AN425" s="96"/>
      <c r="AO425" s="96"/>
      <c r="AP425" s="96"/>
      <c r="AQ425" s="96"/>
      <c r="AR425" s="96"/>
    </row>
    <row r="426" spans="1:44" s="6" customFormat="1" ht="15" hidden="1" customHeight="1">
      <c r="A426" s="106"/>
      <c r="B426" s="106"/>
      <c r="C426" s="106"/>
      <c r="D426" s="106"/>
      <c r="E426" s="106"/>
      <c r="F426" s="106"/>
      <c r="G426" s="106"/>
      <c r="H426" s="106"/>
      <c r="I426" s="106"/>
      <c r="J426" s="106"/>
      <c r="K426" s="106"/>
      <c r="L426" s="106"/>
      <c r="M426" s="106"/>
      <c r="N426" s="106"/>
      <c r="O426" s="106"/>
      <c r="P426" s="106"/>
      <c r="Q426" s="106"/>
      <c r="R426" s="106"/>
      <c r="S426" s="106"/>
      <c r="T426" s="106"/>
      <c r="U426" s="106"/>
      <c r="V426" s="106"/>
      <c r="W426" s="106"/>
      <c r="X426" s="106"/>
      <c r="Y426" s="106"/>
      <c r="Z426" s="106"/>
      <c r="AA426" s="106"/>
      <c r="AB426" s="106"/>
      <c r="AC426" s="106"/>
      <c r="AD426" s="106"/>
      <c r="AE426" s="106"/>
      <c r="AF426" s="106"/>
      <c r="AG426" s="106"/>
      <c r="AH426" s="106"/>
      <c r="AI426" s="106"/>
      <c r="AJ426" s="106"/>
      <c r="AM426" s="96"/>
      <c r="AN426" s="96"/>
      <c r="AO426" s="96"/>
      <c r="AP426" s="96"/>
      <c r="AQ426" s="96"/>
      <c r="AR426" s="96"/>
    </row>
    <row r="427" spans="1:44" s="6" customFormat="1" ht="15" hidden="1" customHeight="1">
      <c r="A427" s="106"/>
      <c r="B427" s="106"/>
      <c r="C427" s="106"/>
      <c r="D427" s="106"/>
      <c r="E427" s="106"/>
      <c r="F427" s="106"/>
      <c r="G427" s="106"/>
      <c r="H427" s="106"/>
      <c r="I427" s="106"/>
      <c r="J427" s="106"/>
      <c r="K427" s="106"/>
      <c r="L427" s="106"/>
      <c r="M427" s="106"/>
      <c r="N427" s="106"/>
      <c r="O427" s="106"/>
      <c r="P427" s="106"/>
      <c r="Q427" s="106"/>
      <c r="R427" s="106"/>
      <c r="S427" s="106"/>
      <c r="T427" s="106"/>
      <c r="U427" s="106"/>
      <c r="V427" s="106"/>
      <c r="W427" s="106"/>
      <c r="X427" s="106"/>
      <c r="Y427" s="106"/>
      <c r="Z427" s="106"/>
      <c r="AA427" s="106"/>
      <c r="AB427" s="106"/>
      <c r="AC427" s="106"/>
      <c r="AD427" s="106"/>
      <c r="AE427" s="106"/>
      <c r="AF427" s="106"/>
      <c r="AG427" s="106"/>
      <c r="AH427" s="106"/>
      <c r="AI427" s="106"/>
      <c r="AJ427" s="106"/>
      <c r="AM427" s="96"/>
      <c r="AN427" s="96"/>
      <c r="AO427" s="96"/>
      <c r="AP427" s="96"/>
      <c r="AQ427" s="96"/>
      <c r="AR427" s="96"/>
    </row>
    <row r="428" spans="1:44" s="6" customFormat="1" ht="15" hidden="1" customHeight="1">
      <c r="A428" s="106"/>
      <c r="B428" s="106"/>
      <c r="C428" s="106"/>
      <c r="D428" s="106"/>
      <c r="E428" s="106"/>
      <c r="F428" s="106"/>
      <c r="G428" s="106"/>
      <c r="H428" s="106"/>
      <c r="I428" s="106"/>
      <c r="J428" s="106"/>
      <c r="K428" s="106"/>
      <c r="L428" s="106"/>
      <c r="M428" s="106"/>
      <c r="N428" s="106"/>
      <c r="O428" s="106"/>
      <c r="P428" s="106"/>
      <c r="Q428" s="106"/>
      <c r="R428" s="106"/>
      <c r="S428" s="106"/>
      <c r="T428" s="106"/>
      <c r="U428" s="106"/>
      <c r="V428" s="106"/>
      <c r="W428" s="106"/>
      <c r="X428" s="106"/>
      <c r="Y428" s="106"/>
      <c r="Z428" s="106"/>
      <c r="AA428" s="106"/>
      <c r="AB428" s="106"/>
      <c r="AC428" s="106"/>
      <c r="AD428" s="106"/>
      <c r="AE428" s="106"/>
      <c r="AF428" s="106"/>
      <c r="AG428" s="106"/>
      <c r="AH428" s="106"/>
      <c r="AI428" s="106"/>
      <c r="AJ428" s="106"/>
      <c r="AM428" s="96"/>
      <c r="AN428" s="96"/>
      <c r="AO428" s="96"/>
      <c r="AP428" s="96"/>
      <c r="AQ428" s="96"/>
      <c r="AR428" s="96"/>
    </row>
    <row r="429" spans="1:44" s="6" customFormat="1" ht="15" hidden="1" customHeight="1">
      <c r="A429" s="106"/>
      <c r="B429" s="106"/>
      <c r="C429" s="106"/>
      <c r="D429" s="106"/>
      <c r="E429" s="106"/>
      <c r="F429" s="106"/>
      <c r="G429" s="106"/>
      <c r="H429" s="106"/>
      <c r="I429" s="106"/>
      <c r="J429" s="106"/>
      <c r="K429" s="106"/>
      <c r="L429" s="106"/>
      <c r="M429" s="106"/>
      <c r="N429" s="106"/>
      <c r="O429" s="106"/>
      <c r="P429" s="106"/>
      <c r="Q429" s="106"/>
      <c r="R429" s="106"/>
      <c r="S429" s="106"/>
      <c r="T429" s="106"/>
      <c r="U429" s="106"/>
      <c r="V429" s="106"/>
      <c r="W429" s="106"/>
      <c r="X429" s="106"/>
      <c r="Y429" s="106"/>
      <c r="Z429" s="106"/>
      <c r="AA429" s="106"/>
      <c r="AB429" s="106"/>
      <c r="AC429" s="106"/>
      <c r="AD429" s="106"/>
      <c r="AE429" s="106"/>
      <c r="AF429" s="106"/>
      <c r="AG429" s="106"/>
      <c r="AH429" s="106"/>
      <c r="AI429" s="106"/>
      <c r="AJ429" s="106"/>
      <c r="AM429" s="96"/>
      <c r="AN429" s="96"/>
      <c r="AO429" s="96"/>
      <c r="AP429" s="96"/>
      <c r="AQ429" s="96"/>
      <c r="AR429" s="96"/>
    </row>
    <row r="430" spans="1:44" s="6" customFormat="1" ht="15" hidden="1" customHeight="1">
      <c r="A430" s="106"/>
      <c r="B430" s="106"/>
      <c r="C430" s="106"/>
      <c r="D430" s="106"/>
      <c r="E430" s="106"/>
      <c r="F430" s="106"/>
      <c r="G430" s="106"/>
      <c r="H430" s="106"/>
      <c r="I430" s="106"/>
      <c r="J430" s="106"/>
      <c r="K430" s="106"/>
      <c r="L430" s="106"/>
      <c r="M430" s="106"/>
      <c r="N430" s="106"/>
      <c r="O430" s="106"/>
      <c r="P430" s="106"/>
      <c r="Q430" s="106"/>
      <c r="R430" s="106"/>
      <c r="S430" s="106"/>
      <c r="T430" s="106"/>
      <c r="U430" s="106"/>
      <c r="V430" s="106"/>
      <c r="W430" s="106"/>
      <c r="X430" s="106"/>
      <c r="Y430" s="106"/>
      <c r="Z430" s="106"/>
      <c r="AA430" s="106"/>
      <c r="AB430" s="106"/>
      <c r="AC430" s="106"/>
      <c r="AD430" s="106"/>
      <c r="AE430" s="106"/>
      <c r="AF430" s="106"/>
      <c r="AG430" s="106"/>
      <c r="AH430" s="106"/>
      <c r="AI430" s="106"/>
      <c r="AJ430" s="106"/>
      <c r="AM430" s="96"/>
      <c r="AN430" s="96"/>
      <c r="AO430" s="96"/>
      <c r="AP430" s="96"/>
      <c r="AQ430" s="96"/>
      <c r="AR430" s="96"/>
    </row>
    <row r="431" spans="1:44" s="6" customFormat="1" ht="15" hidden="1" customHeight="1">
      <c r="A431" s="106"/>
      <c r="B431" s="106"/>
      <c r="C431" s="106"/>
      <c r="D431" s="106"/>
      <c r="E431" s="106"/>
      <c r="F431" s="106"/>
      <c r="G431" s="106"/>
      <c r="H431" s="106"/>
      <c r="I431" s="106"/>
      <c r="J431" s="106"/>
      <c r="K431" s="106"/>
      <c r="L431" s="106"/>
      <c r="M431" s="106"/>
      <c r="N431" s="106"/>
      <c r="O431" s="106"/>
      <c r="P431" s="106"/>
      <c r="Q431" s="106"/>
      <c r="R431" s="106"/>
      <c r="S431" s="106"/>
      <c r="T431" s="106"/>
      <c r="U431" s="106"/>
      <c r="V431" s="106"/>
      <c r="W431" s="106"/>
      <c r="X431" s="106"/>
      <c r="Y431" s="106"/>
      <c r="Z431" s="106"/>
      <c r="AA431" s="106"/>
      <c r="AB431" s="106"/>
      <c r="AC431" s="106"/>
      <c r="AD431" s="106"/>
      <c r="AE431" s="106"/>
      <c r="AF431" s="106"/>
      <c r="AG431" s="106"/>
      <c r="AH431" s="106"/>
      <c r="AI431" s="106"/>
      <c r="AJ431" s="106"/>
      <c r="AM431" s="96"/>
      <c r="AN431" s="96"/>
      <c r="AO431" s="96"/>
      <c r="AP431" s="96"/>
      <c r="AQ431" s="96"/>
      <c r="AR431" s="96"/>
    </row>
    <row r="432" spans="1:44" s="6" customFormat="1" ht="15" hidden="1" customHeight="1">
      <c r="A432" s="106"/>
      <c r="B432" s="106"/>
      <c r="C432" s="106"/>
      <c r="D432" s="106"/>
      <c r="E432" s="106"/>
      <c r="F432" s="106"/>
      <c r="G432" s="106"/>
      <c r="H432" s="106"/>
      <c r="I432" s="106"/>
      <c r="J432" s="106"/>
      <c r="K432" s="106"/>
      <c r="L432" s="106"/>
      <c r="M432" s="106"/>
      <c r="N432" s="106"/>
      <c r="O432" s="106"/>
      <c r="P432" s="106"/>
      <c r="Q432" s="106"/>
      <c r="R432" s="106"/>
      <c r="S432" s="106"/>
      <c r="T432" s="106"/>
      <c r="U432" s="106"/>
      <c r="V432" s="106"/>
      <c r="W432" s="106"/>
      <c r="X432" s="106"/>
      <c r="Y432" s="106"/>
      <c r="Z432" s="106"/>
      <c r="AA432" s="106"/>
      <c r="AB432" s="106"/>
      <c r="AC432" s="106"/>
      <c r="AD432" s="106"/>
      <c r="AE432" s="106"/>
      <c r="AF432" s="106"/>
      <c r="AG432" s="106"/>
      <c r="AH432" s="106"/>
      <c r="AI432" s="106"/>
      <c r="AJ432" s="106"/>
      <c r="AM432" s="96"/>
      <c r="AN432" s="96"/>
      <c r="AO432" s="96"/>
      <c r="AP432" s="96"/>
      <c r="AQ432" s="96"/>
      <c r="AR432" s="96"/>
    </row>
    <row r="433" spans="1:44" s="6" customFormat="1" ht="15" hidden="1" customHeight="1">
      <c r="A433" s="106"/>
      <c r="B433" s="106"/>
      <c r="C433" s="106"/>
      <c r="D433" s="106"/>
      <c r="E433" s="106"/>
      <c r="F433" s="106"/>
      <c r="G433" s="106"/>
      <c r="H433" s="106"/>
      <c r="I433" s="106"/>
      <c r="J433" s="106"/>
      <c r="K433" s="106"/>
      <c r="L433" s="106"/>
      <c r="M433" s="106"/>
      <c r="N433" s="106"/>
      <c r="O433" s="106"/>
      <c r="P433" s="106"/>
      <c r="Q433" s="106"/>
      <c r="R433" s="106"/>
      <c r="S433" s="106"/>
      <c r="T433" s="106"/>
      <c r="U433" s="106"/>
      <c r="V433" s="106"/>
      <c r="W433" s="106"/>
      <c r="X433" s="106"/>
      <c r="Y433" s="106"/>
      <c r="Z433" s="106"/>
      <c r="AA433" s="106"/>
      <c r="AB433" s="106"/>
      <c r="AC433" s="106"/>
      <c r="AD433" s="106"/>
      <c r="AE433" s="106"/>
      <c r="AF433" s="106"/>
      <c r="AG433" s="106"/>
      <c r="AH433" s="106"/>
      <c r="AI433" s="106"/>
      <c r="AJ433" s="106"/>
      <c r="AM433" s="96"/>
      <c r="AN433" s="96"/>
      <c r="AO433" s="96"/>
      <c r="AP433" s="96"/>
      <c r="AQ433" s="96"/>
      <c r="AR433" s="96"/>
    </row>
    <row r="434" spans="1:44" s="6" customFormat="1" ht="15" hidden="1" customHeight="1">
      <c r="A434" s="106"/>
      <c r="B434" s="106"/>
      <c r="C434" s="106"/>
      <c r="D434" s="106"/>
      <c r="E434" s="106"/>
      <c r="F434" s="106"/>
      <c r="G434" s="106"/>
      <c r="H434" s="106"/>
      <c r="I434" s="106"/>
      <c r="J434" s="106"/>
      <c r="K434" s="106"/>
      <c r="L434" s="106"/>
      <c r="M434" s="106"/>
      <c r="N434" s="106"/>
      <c r="O434" s="106"/>
      <c r="P434" s="106"/>
      <c r="Q434" s="106"/>
      <c r="R434" s="106"/>
      <c r="S434" s="106"/>
      <c r="T434" s="106"/>
      <c r="U434" s="106"/>
      <c r="V434" s="106"/>
      <c r="W434" s="106"/>
      <c r="X434" s="106"/>
      <c r="Y434" s="106"/>
      <c r="Z434" s="106"/>
      <c r="AA434" s="106"/>
      <c r="AB434" s="106"/>
      <c r="AC434" s="106"/>
      <c r="AD434" s="106"/>
      <c r="AE434" s="106"/>
      <c r="AF434" s="106"/>
      <c r="AG434" s="106"/>
      <c r="AH434" s="106"/>
      <c r="AI434" s="106"/>
      <c r="AJ434" s="106"/>
      <c r="AM434" s="96"/>
      <c r="AN434" s="96"/>
      <c r="AO434" s="96"/>
      <c r="AP434" s="96"/>
      <c r="AQ434" s="96"/>
      <c r="AR434" s="96"/>
    </row>
    <row r="435" spans="1:44" s="6" customFormat="1" ht="15" hidden="1" customHeight="1">
      <c r="A435" s="106"/>
      <c r="B435" s="106"/>
      <c r="C435" s="106"/>
      <c r="D435" s="106"/>
      <c r="E435" s="106"/>
      <c r="F435" s="106"/>
      <c r="G435" s="106"/>
      <c r="H435" s="106"/>
      <c r="I435" s="106"/>
      <c r="J435" s="106"/>
      <c r="K435" s="106"/>
      <c r="L435" s="106"/>
      <c r="M435" s="106"/>
      <c r="N435" s="106"/>
      <c r="O435" s="106"/>
      <c r="P435" s="106"/>
      <c r="Q435" s="106"/>
      <c r="R435" s="106"/>
      <c r="S435" s="106"/>
      <c r="T435" s="106"/>
      <c r="U435" s="106"/>
      <c r="V435" s="106"/>
      <c r="W435" s="106"/>
      <c r="X435" s="106"/>
      <c r="Y435" s="106"/>
      <c r="Z435" s="106"/>
      <c r="AA435" s="106"/>
      <c r="AB435" s="106"/>
      <c r="AC435" s="106"/>
      <c r="AD435" s="106"/>
      <c r="AE435" s="106"/>
      <c r="AF435" s="106"/>
      <c r="AG435" s="106"/>
      <c r="AH435" s="106"/>
      <c r="AI435" s="106"/>
      <c r="AJ435" s="106"/>
      <c r="AM435" s="96"/>
      <c r="AN435" s="96"/>
      <c r="AO435" s="96"/>
      <c r="AP435" s="96"/>
      <c r="AQ435" s="96"/>
      <c r="AR435" s="96"/>
    </row>
    <row r="436" spans="1:44" s="6" customFormat="1" ht="15" hidden="1" customHeight="1">
      <c r="A436" s="106"/>
      <c r="B436" s="106"/>
      <c r="C436" s="106"/>
      <c r="D436" s="106"/>
      <c r="E436" s="106"/>
      <c r="F436" s="106"/>
      <c r="G436" s="106"/>
      <c r="H436" s="106"/>
      <c r="I436" s="106"/>
      <c r="J436" s="106"/>
      <c r="K436" s="106"/>
      <c r="L436" s="106"/>
      <c r="M436" s="106"/>
      <c r="N436" s="106"/>
      <c r="O436" s="106"/>
      <c r="P436" s="106"/>
      <c r="Q436" s="106"/>
      <c r="R436" s="106"/>
      <c r="S436" s="106"/>
      <c r="T436" s="106"/>
      <c r="U436" s="106"/>
      <c r="V436" s="106"/>
      <c r="W436" s="106"/>
      <c r="X436" s="106"/>
      <c r="Y436" s="106"/>
      <c r="Z436" s="106"/>
      <c r="AA436" s="106"/>
      <c r="AB436" s="106"/>
      <c r="AC436" s="106"/>
      <c r="AD436" s="106"/>
      <c r="AE436" s="106"/>
      <c r="AF436" s="106"/>
      <c r="AG436" s="106"/>
      <c r="AH436" s="106"/>
      <c r="AI436" s="106"/>
      <c r="AJ436" s="106"/>
      <c r="AM436" s="96"/>
      <c r="AN436" s="96"/>
      <c r="AO436" s="96"/>
      <c r="AP436" s="96"/>
      <c r="AQ436" s="96"/>
      <c r="AR436" s="96"/>
    </row>
    <row r="437" spans="1:44" s="6" customFormat="1" ht="15" hidden="1" customHeight="1">
      <c r="A437" s="106"/>
      <c r="B437" s="106"/>
      <c r="C437" s="106"/>
      <c r="D437" s="106"/>
      <c r="E437" s="106"/>
      <c r="F437" s="106"/>
      <c r="G437" s="106"/>
      <c r="H437" s="106"/>
      <c r="I437" s="106"/>
      <c r="J437" s="106"/>
      <c r="K437" s="106"/>
      <c r="L437" s="106"/>
      <c r="M437" s="106"/>
      <c r="N437" s="106"/>
      <c r="O437" s="106"/>
      <c r="P437" s="106"/>
      <c r="Q437" s="106"/>
      <c r="R437" s="106"/>
      <c r="S437" s="106"/>
      <c r="T437" s="106"/>
      <c r="U437" s="106"/>
      <c r="V437" s="106"/>
      <c r="W437" s="106"/>
      <c r="X437" s="106"/>
      <c r="Y437" s="106"/>
      <c r="Z437" s="106"/>
      <c r="AA437" s="106"/>
      <c r="AB437" s="106"/>
      <c r="AC437" s="106"/>
      <c r="AD437" s="106"/>
      <c r="AE437" s="106"/>
      <c r="AF437" s="106"/>
      <c r="AG437" s="106"/>
      <c r="AH437" s="106"/>
      <c r="AI437" s="106"/>
      <c r="AJ437" s="106"/>
      <c r="AM437" s="96"/>
      <c r="AN437" s="96"/>
      <c r="AO437" s="96"/>
      <c r="AP437" s="96"/>
      <c r="AQ437" s="96"/>
      <c r="AR437" s="96"/>
    </row>
    <row r="438" spans="1:44" s="6" customFormat="1" ht="15" hidden="1" customHeight="1">
      <c r="A438" s="106"/>
      <c r="B438" s="106"/>
      <c r="C438" s="106"/>
      <c r="D438" s="106"/>
      <c r="E438" s="106"/>
      <c r="F438" s="106"/>
      <c r="G438" s="106"/>
      <c r="H438" s="106"/>
      <c r="I438" s="106"/>
      <c r="J438" s="106"/>
      <c r="K438" s="106"/>
      <c r="L438" s="106"/>
      <c r="M438" s="106"/>
      <c r="N438" s="106"/>
      <c r="O438" s="106"/>
      <c r="P438" s="106"/>
      <c r="Q438" s="106"/>
      <c r="R438" s="106"/>
      <c r="S438" s="106"/>
      <c r="T438" s="106"/>
      <c r="U438" s="106"/>
      <c r="V438" s="106"/>
      <c r="W438" s="106"/>
      <c r="X438" s="106"/>
      <c r="Y438" s="106"/>
      <c r="Z438" s="106"/>
      <c r="AA438" s="106"/>
      <c r="AB438" s="106"/>
      <c r="AC438" s="106"/>
      <c r="AD438" s="106"/>
      <c r="AE438" s="106"/>
      <c r="AF438" s="106"/>
      <c r="AG438" s="106"/>
      <c r="AH438" s="106"/>
      <c r="AI438" s="106"/>
      <c r="AJ438" s="106"/>
      <c r="AM438" s="96"/>
      <c r="AN438" s="96"/>
      <c r="AO438" s="96"/>
      <c r="AP438" s="96"/>
      <c r="AQ438" s="96"/>
      <c r="AR438" s="96"/>
    </row>
    <row r="439" spans="1:44" s="6" customFormat="1" ht="15" hidden="1" customHeight="1">
      <c r="A439" s="106"/>
      <c r="B439" s="106"/>
      <c r="C439" s="106"/>
      <c r="D439" s="106"/>
      <c r="E439" s="106"/>
      <c r="F439" s="106"/>
      <c r="G439" s="106"/>
      <c r="H439" s="106"/>
      <c r="I439" s="106"/>
      <c r="J439" s="106"/>
      <c r="K439" s="106"/>
      <c r="L439" s="106"/>
      <c r="M439" s="106"/>
      <c r="N439" s="106"/>
      <c r="O439" s="106"/>
      <c r="P439" s="106"/>
      <c r="Q439" s="106"/>
      <c r="R439" s="106"/>
      <c r="S439" s="106"/>
      <c r="T439" s="106"/>
      <c r="U439" s="106"/>
      <c r="V439" s="106"/>
      <c r="W439" s="106"/>
      <c r="X439" s="106"/>
      <c r="Y439" s="106"/>
      <c r="Z439" s="106"/>
      <c r="AA439" s="106"/>
      <c r="AB439" s="106"/>
      <c r="AC439" s="106"/>
      <c r="AD439" s="106"/>
      <c r="AE439" s="106"/>
      <c r="AF439" s="106"/>
      <c r="AG439" s="106"/>
      <c r="AH439" s="106"/>
      <c r="AI439" s="106"/>
      <c r="AJ439" s="106"/>
      <c r="AM439" s="96"/>
      <c r="AN439" s="96"/>
      <c r="AO439" s="96"/>
      <c r="AP439" s="96"/>
      <c r="AQ439" s="96"/>
      <c r="AR439" s="96"/>
    </row>
    <row r="440" spans="1:44" s="6" customFormat="1" ht="15" hidden="1" customHeight="1">
      <c r="A440" s="106"/>
      <c r="B440" s="106"/>
      <c r="C440" s="106"/>
      <c r="D440" s="106"/>
      <c r="E440" s="106"/>
      <c r="F440" s="106"/>
      <c r="G440" s="106"/>
      <c r="H440" s="106"/>
      <c r="I440" s="106"/>
      <c r="J440" s="106"/>
      <c r="K440" s="106"/>
      <c r="L440" s="106"/>
      <c r="M440" s="106"/>
      <c r="N440" s="106"/>
      <c r="O440" s="106"/>
      <c r="P440" s="106"/>
      <c r="Q440" s="106"/>
      <c r="R440" s="106"/>
      <c r="S440" s="106"/>
      <c r="T440" s="106"/>
      <c r="U440" s="106"/>
      <c r="V440" s="106"/>
      <c r="W440" s="106"/>
      <c r="X440" s="106"/>
      <c r="Y440" s="106"/>
      <c r="Z440" s="106"/>
      <c r="AA440" s="106"/>
      <c r="AB440" s="106"/>
      <c r="AC440" s="106"/>
      <c r="AD440" s="106"/>
      <c r="AE440" s="106"/>
      <c r="AF440" s="106"/>
      <c r="AG440" s="106"/>
      <c r="AH440" s="106"/>
      <c r="AI440" s="106"/>
      <c r="AJ440" s="106"/>
      <c r="AM440" s="96"/>
      <c r="AN440" s="96"/>
      <c r="AO440" s="96"/>
      <c r="AP440" s="96"/>
      <c r="AQ440" s="96"/>
      <c r="AR440" s="96"/>
    </row>
    <row r="441" spans="1:44" s="6" customFormat="1" ht="15" hidden="1" customHeight="1">
      <c r="A441" s="106"/>
      <c r="B441" s="106"/>
      <c r="C441" s="106"/>
      <c r="D441" s="106"/>
      <c r="E441" s="106"/>
      <c r="F441" s="106"/>
      <c r="G441" s="106"/>
      <c r="H441" s="106"/>
      <c r="I441" s="106"/>
      <c r="J441" s="106"/>
      <c r="K441" s="106"/>
      <c r="L441" s="106"/>
      <c r="M441" s="106"/>
      <c r="N441" s="106"/>
      <c r="O441" s="106"/>
      <c r="P441" s="106"/>
      <c r="Q441" s="106"/>
      <c r="R441" s="106"/>
      <c r="S441" s="106"/>
      <c r="T441" s="106"/>
      <c r="U441" s="106"/>
      <c r="V441" s="106"/>
      <c r="W441" s="106"/>
      <c r="X441" s="106"/>
      <c r="Y441" s="106"/>
      <c r="Z441" s="106"/>
      <c r="AA441" s="106"/>
      <c r="AB441" s="106"/>
      <c r="AC441" s="106"/>
      <c r="AD441" s="106"/>
      <c r="AE441" s="106"/>
      <c r="AF441" s="106"/>
      <c r="AG441" s="106"/>
      <c r="AH441" s="106"/>
      <c r="AI441" s="106"/>
      <c r="AJ441" s="106"/>
      <c r="AM441" s="96"/>
      <c r="AN441" s="96"/>
      <c r="AO441" s="96"/>
      <c r="AP441" s="96"/>
      <c r="AQ441" s="96"/>
      <c r="AR441" s="96"/>
    </row>
    <row r="442" spans="1:44" s="6" customFormat="1" ht="15" hidden="1" customHeight="1">
      <c r="A442" s="106"/>
      <c r="B442" s="106"/>
      <c r="C442" s="106"/>
      <c r="D442" s="106"/>
      <c r="E442" s="106"/>
      <c r="F442" s="106"/>
      <c r="G442" s="106"/>
      <c r="H442" s="106"/>
      <c r="I442" s="106"/>
      <c r="J442" s="106"/>
      <c r="K442" s="106"/>
      <c r="L442" s="106"/>
      <c r="M442" s="106"/>
      <c r="N442" s="106"/>
      <c r="O442" s="106"/>
      <c r="P442" s="106"/>
      <c r="Q442" s="106"/>
      <c r="R442" s="106"/>
      <c r="S442" s="106"/>
      <c r="T442" s="106"/>
      <c r="U442" s="106"/>
      <c r="V442" s="106"/>
      <c r="W442" s="106"/>
      <c r="X442" s="106"/>
      <c r="Y442" s="106"/>
      <c r="Z442" s="106"/>
      <c r="AA442" s="106"/>
      <c r="AB442" s="106"/>
      <c r="AC442" s="106"/>
      <c r="AD442" s="106"/>
      <c r="AE442" s="106"/>
      <c r="AF442" s="106"/>
      <c r="AG442" s="106"/>
      <c r="AH442" s="106"/>
      <c r="AI442" s="106"/>
      <c r="AJ442" s="106"/>
      <c r="AM442" s="96"/>
      <c r="AN442" s="96"/>
      <c r="AO442" s="96"/>
      <c r="AP442" s="96"/>
      <c r="AQ442" s="96"/>
      <c r="AR442" s="96"/>
    </row>
    <row r="443" spans="1:44" s="6" customFormat="1" ht="15" hidden="1" customHeight="1">
      <c r="A443" s="106"/>
      <c r="B443" s="106"/>
      <c r="C443" s="106"/>
      <c r="D443" s="106"/>
      <c r="E443" s="106"/>
      <c r="F443" s="106"/>
      <c r="G443" s="106"/>
      <c r="H443" s="106"/>
      <c r="I443" s="106"/>
      <c r="J443" s="106"/>
      <c r="K443" s="106"/>
      <c r="L443" s="106"/>
      <c r="M443" s="106"/>
      <c r="N443" s="106"/>
      <c r="O443" s="106"/>
      <c r="P443" s="106"/>
      <c r="Q443" s="106"/>
      <c r="R443" s="106"/>
      <c r="S443" s="106"/>
      <c r="T443" s="106"/>
      <c r="U443" s="106"/>
      <c r="V443" s="106"/>
      <c r="W443" s="106"/>
      <c r="X443" s="106"/>
      <c r="Y443" s="106"/>
      <c r="Z443" s="106"/>
      <c r="AA443" s="106"/>
      <c r="AB443" s="106"/>
      <c r="AC443" s="106"/>
      <c r="AD443" s="106"/>
      <c r="AE443" s="106"/>
      <c r="AF443" s="106"/>
      <c r="AG443" s="106"/>
      <c r="AH443" s="106"/>
      <c r="AI443" s="106"/>
      <c r="AJ443" s="106"/>
      <c r="AM443" s="96"/>
      <c r="AN443" s="96"/>
      <c r="AO443" s="96"/>
      <c r="AP443" s="96"/>
      <c r="AQ443" s="96"/>
      <c r="AR443" s="96"/>
    </row>
    <row r="444" spans="1:44" s="6" customFormat="1" ht="15" hidden="1" customHeight="1">
      <c r="A444" s="106"/>
      <c r="B444" s="106"/>
      <c r="C444" s="106"/>
      <c r="D444" s="106"/>
      <c r="E444" s="106"/>
      <c r="F444" s="106"/>
      <c r="G444" s="106"/>
      <c r="H444" s="106"/>
      <c r="I444" s="106"/>
      <c r="J444" s="106"/>
      <c r="K444" s="106"/>
      <c r="L444" s="106"/>
      <c r="M444" s="106"/>
      <c r="N444" s="106"/>
      <c r="O444" s="106"/>
      <c r="P444" s="106"/>
      <c r="Q444" s="106"/>
      <c r="R444" s="106"/>
      <c r="S444" s="106"/>
      <c r="T444" s="106"/>
      <c r="U444" s="106"/>
      <c r="V444" s="106"/>
      <c r="W444" s="106"/>
      <c r="X444" s="106"/>
      <c r="Y444" s="106"/>
      <c r="Z444" s="106"/>
      <c r="AA444" s="106"/>
      <c r="AB444" s="106"/>
      <c r="AC444" s="106"/>
      <c r="AD444" s="106"/>
      <c r="AE444" s="106"/>
      <c r="AF444" s="106"/>
      <c r="AG444" s="106"/>
      <c r="AH444" s="106"/>
      <c r="AI444" s="106"/>
      <c r="AJ444" s="106"/>
      <c r="AM444" s="96"/>
      <c r="AN444" s="96"/>
      <c r="AO444" s="96"/>
      <c r="AP444" s="96"/>
      <c r="AQ444" s="96"/>
      <c r="AR444" s="96"/>
    </row>
    <row r="445" spans="1:44" s="6" customFormat="1" ht="15" hidden="1" customHeight="1">
      <c r="A445" s="106"/>
      <c r="B445" s="106"/>
      <c r="C445" s="106"/>
      <c r="D445" s="106"/>
      <c r="E445" s="106"/>
      <c r="F445" s="106"/>
      <c r="G445" s="106"/>
      <c r="H445" s="106"/>
      <c r="I445" s="106"/>
      <c r="J445" s="106"/>
      <c r="K445" s="106"/>
      <c r="L445" s="106"/>
      <c r="M445" s="106"/>
      <c r="N445" s="106"/>
      <c r="O445" s="106"/>
      <c r="P445" s="106"/>
      <c r="Q445" s="106"/>
      <c r="R445" s="106"/>
      <c r="S445" s="106"/>
      <c r="T445" s="106"/>
      <c r="U445" s="106"/>
      <c r="V445" s="106"/>
      <c r="W445" s="106"/>
      <c r="X445" s="106"/>
      <c r="Y445" s="106"/>
      <c r="Z445" s="106"/>
      <c r="AA445" s="106"/>
      <c r="AB445" s="106"/>
      <c r="AC445" s="106"/>
      <c r="AD445" s="106"/>
      <c r="AE445" s="106"/>
      <c r="AF445" s="106"/>
      <c r="AG445" s="106"/>
      <c r="AH445" s="106"/>
      <c r="AI445" s="106"/>
      <c r="AJ445" s="106"/>
      <c r="AM445" s="96"/>
      <c r="AN445" s="96"/>
      <c r="AO445" s="96"/>
      <c r="AP445" s="96"/>
      <c r="AQ445" s="96"/>
      <c r="AR445" s="96"/>
    </row>
    <row r="446" spans="1:44" s="6" customFormat="1" ht="15" hidden="1" customHeight="1">
      <c r="A446" s="106"/>
      <c r="B446" s="106"/>
      <c r="C446" s="106"/>
      <c r="D446" s="106"/>
      <c r="E446" s="106"/>
      <c r="F446" s="106"/>
      <c r="G446" s="106"/>
      <c r="H446" s="106"/>
      <c r="I446" s="106"/>
      <c r="J446" s="106"/>
      <c r="K446" s="106"/>
      <c r="L446" s="106"/>
      <c r="M446" s="106"/>
      <c r="N446" s="106"/>
      <c r="O446" s="106"/>
      <c r="P446" s="106"/>
      <c r="Q446" s="106"/>
      <c r="R446" s="106"/>
      <c r="S446" s="106"/>
      <c r="T446" s="106"/>
      <c r="U446" s="106"/>
      <c r="V446" s="106"/>
      <c r="W446" s="106"/>
      <c r="X446" s="106"/>
      <c r="Y446" s="106"/>
      <c r="Z446" s="106"/>
      <c r="AA446" s="106"/>
      <c r="AB446" s="106"/>
      <c r="AC446" s="106"/>
      <c r="AD446" s="106"/>
      <c r="AE446" s="106"/>
      <c r="AF446" s="106"/>
      <c r="AG446" s="106"/>
      <c r="AH446" s="106"/>
      <c r="AI446" s="106"/>
      <c r="AJ446" s="106"/>
      <c r="AM446" s="96"/>
      <c r="AN446" s="96"/>
      <c r="AO446" s="96"/>
      <c r="AP446" s="96"/>
      <c r="AQ446" s="96"/>
      <c r="AR446" s="96"/>
    </row>
    <row r="447" spans="1:44" s="6" customFormat="1" ht="15" hidden="1" customHeight="1">
      <c r="A447" s="106"/>
      <c r="B447" s="106"/>
      <c r="C447" s="106"/>
      <c r="D447" s="106"/>
      <c r="E447" s="106"/>
      <c r="F447" s="106"/>
      <c r="G447" s="106"/>
      <c r="H447" s="106"/>
      <c r="I447" s="106"/>
      <c r="J447" s="106"/>
      <c r="K447" s="106"/>
      <c r="L447" s="106"/>
      <c r="M447" s="106"/>
      <c r="N447" s="106"/>
      <c r="O447" s="106"/>
      <c r="P447" s="106"/>
      <c r="Q447" s="106"/>
      <c r="R447" s="106"/>
      <c r="S447" s="106"/>
      <c r="T447" s="106"/>
      <c r="U447" s="106"/>
      <c r="V447" s="106"/>
      <c r="W447" s="106"/>
      <c r="X447" s="106"/>
      <c r="Y447" s="106"/>
      <c r="Z447" s="106"/>
      <c r="AA447" s="106"/>
      <c r="AB447" s="106"/>
      <c r="AC447" s="106"/>
      <c r="AD447" s="106"/>
      <c r="AE447" s="106"/>
      <c r="AF447" s="106"/>
      <c r="AG447" s="106"/>
      <c r="AH447" s="106"/>
      <c r="AI447" s="106"/>
      <c r="AJ447" s="106"/>
      <c r="AM447" s="96"/>
      <c r="AN447" s="96"/>
      <c r="AO447" s="96"/>
      <c r="AP447" s="96"/>
      <c r="AQ447" s="96"/>
      <c r="AR447" s="96"/>
    </row>
    <row r="448" spans="1:44" s="6" customFormat="1" ht="15" hidden="1" customHeight="1">
      <c r="A448" s="106"/>
      <c r="B448" s="106"/>
      <c r="C448" s="106"/>
      <c r="D448" s="106"/>
      <c r="E448" s="106"/>
      <c r="F448" s="106"/>
      <c r="G448" s="106"/>
      <c r="H448" s="106"/>
      <c r="I448" s="106"/>
      <c r="J448" s="106"/>
      <c r="K448" s="106"/>
      <c r="L448" s="106"/>
      <c r="M448" s="106"/>
      <c r="N448" s="106"/>
      <c r="O448" s="106"/>
      <c r="P448" s="106"/>
      <c r="Q448" s="106"/>
      <c r="R448" s="106"/>
      <c r="S448" s="106"/>
      <c r="T448" s="106"/>
      <c r="U448" s="106"/>
      <c r="V448" s="106"/>
      <c r="W448" s="106"/>
      <c r="X448" s="106"/>
      <c r="Y448" s="106"/>
      <c r="Z448" s="106"/>
      <c r="AA448" s="106"/>
      <c r="AB448" s="106"/>
      <c r="AC448" s="106"/>
      <c r="AD448" s="106"/>
      <c r="AE448" s="106"/>
      <c r="AF448" s="106"/>
      <c r="AG448" s="106"/>
      <c r="AH448" s="106"/>
      <c r="AI448" s="106"/>
      <c r="AJ448" s="106"/>
      <c r="AM448" s="96"/>
      <c r="AN448" s="96"/>
      <c r="AO448" s="96"/>
      <c r="AP448" s="96"/>
      <c r="AQ448" s="96"/>
      <c r="AR448" s="96"/>
    </row>
    <row r="449" spans="1:44" s="6" customFormat="1" ht="15" hidden="1" customHeight="1">
      <c r="A449" s="106"/>
      <c r="B449" s="106"/>
      <c r="C449" s="106"/>
      <c r="D449" s="106"/>
      <c r="E449" s="106"/>
      <c r="F449" s="106"/>
      <c r="G449" s="106"/>
      <c r="H449" s="106"/>
      <c r="I449" s="106"/>
      <c r="J449" s="106"/>
      <c r="K449" s="106"/>
      <c r="L449" s="106"/>
      <c r="M449" s="106"/>
      <c r="N449" s="106"/>
      <c r="O449" s="106"/>
      <c r="P449" s="106"/>
      <c r="Q449" s="106"/>
      <c r="R449" s="106"/>
      <c r="S449" s="106"/>
      <c r="T449" s="106"/>
      <c r="U449" s="106"/>
      <c r="V449" s="106"/>
      <c r="W449" s="106"/>
      <c r="X449" s="106"/>
      <c r="Y449" s="106"/>
      <c r="Z449" s="106"/>
      <c r="AA449" s="106"/>
      <c r="AB449" s="106"/>
      <c r="AC449" s="106"/>
      <c r="AD449" s="106"/>
      <c r="AE449" s="106"/>
      <c r="AF449" s="106"/>
      <c r="AG449" s="106"/>
      <c r="AH449" s="106"/>
      <c r="AI449" s="106"/>
      <c r="AJ449" s="106"/>
      <c r="AM449" s="96"/>
      <c r="AN449" s="96"/>
      <c r="AO449" s="96"/>
      <c r="AP449" s="96"/>
      <c r="AQ449" s="96"/>
      <c r="AR449" s="96"/>
    </row>
    <row r="450" spans="1:44" s="6" customFormat="1" ht="15" hidden="1" customHeight="1">
      <c r="A450" s="106"/>
      <c r="B450" s="106"/>
      <c r="C450" s="106"/>
      <c r="D450" s="106"/>
      <c r="E450" s="106"/>
      <c r="F450" s="106"/>
      <c r="G450" s="106"/>
      <c r="H450" s="106"/>
      <c r="I450" s="106"/>
      <c r="J450" s="106"/>
      <c r="K450" s="106"/>
      <c r="L450" s="106"/>
      <c r="M450" s="106"/>
      <c r="N450" s="106"/>
      <c r="O450" s="106"/>
      <c r="P450" s="106"/>
      <c r="Q450" s="106"/>
      <c r="R450" s="106"/>
      <c r="S450" s="106"/>
      <c r="T450" s="106"/>
      <c r="U450" s="106"/>
      <c r="V450" s="106"/>
      <c r="W450" s="106"/>
      <c r="X450" s="106"/>
      <c r="Y450" s="106"/>
      <c r="Z450" s="106"/>
      <c r="AA450" s="106"/>
      <c r="AB450" s="106"/>
      <c r="AC450" s="106"/>
      <c r="AD450" s="106"/>
      <c r="AE450" s="106"/>
      <c r="AF450" s="106"/>
      <c r="AG450" s="106"/>
      <c r="AH450" s="106"/>
      <c r="AI450" s="106"/>
      <c r="AJ450" s="106"/>
      <c r="AM450" s="96"/>
      <c r="AN450" s="96"/>
      <c r="AO450" s="96"/>
      <c r="AP450" s="96"/>
      <c r="AQ450" s="96"/>
      <c r="AR450" s="96"/>
    </row>
    <row r="451" spans="1:44" s="6" customFormat="1" ht="15" hidden="1" customHeight="1">
      <c r="A451" s="106"/>
      <c r="B451" s="106"/>
      <c r="C451" s="106"/>
      <c r="D451" s="106"/>
      <c r="E451" s="106"/>
      <c r="F451" s="106"/>
      <c r="G451" s="106"/>
      <c r="H451" s="106"/>
      <c r="I451" s="106"/>
      <c r="J451" s="106"/>
      <c r="K451" s="106"/>
      <c r="L451" s="106"/>
      <c r="M451" s="106"/>
      <c r="N451" s="106"/>
      <c r="O451" s="106"/>
      <c r="P451" s="106"/>
      <c r="Q451" s="106"/>
      <c r="R451" s="106"/>
      <c r="S451" s="106"/>
      <c r="T451" s="106"/>
      <c r="U451" s="106"/>
      <c r="V451" s="106"/>
      <c r="W451" s="106"/>
      <c r="X451" s="106"/>
      <c r="Y451" s="106"/>
      <c r="Z451" s="106"/>
      <c r="AA451" s="106"/>
      <c r="AB451" s="106"/>
      <c r="AC451" s="106"/>
      <c r="AD451" s="106"/>
      <c r="AE451" s="106"/>
      <c r="AF451" s="106"/>
      <c r="AG451" s="106"/>
      <c r="AH451" s="106"/>
      <c r="AI451" s="106"/>
      <c r="AJ451" s="106"/>
      <c r="AM451" s="96"/>
      <c r="AN451" s="96"/>
      <c r="AO451" s="96"/>
      <c r="AP451" s="96"/>
      <c r="AQ451" s="96"/>
      <c r="AR451" s="96"/>
    </row>
    <row r="452" spans="1:44" s="6" customFormat="1" ht="15" hidden="1" customHeight="1">
      <c r="A452" s="106"/>
      <c r="B452" s="106"/>
      <c r="C452" s="106"/>
      <c r="D452" s="106"/>
      <c r="E452" s="106"/>
      <c r="F452" s="106"/>
      <c r="G452" s="106"/>
      <c r="H452" s="106"/>
      <c r="I452" s="106"/>
      <c r="J452" s="106"/>
      <c r="K452" s="106"/>
      <c r="L452" s="106"/>
      <c r="M452" s="106"/>
      <c r="N452" s="106"/>
      <c r="O452" s="106"/>
      <c r="P452" s="106"/>
      <c r="Q452" s="106"/>
      <c r="R452" s="106"/>
      <c r="S452" s="106"/>
      <c r="T452" s="106"/>
      <c r="U452" s="106"/>
      <c r="V452" s="106"/>
      <c r="W452" s="106"/>
      <c r="X452" s="106"/>
      <c r="Y452" s="106"/>
      <c r="Z452" s="106"/>
      <c r="AA452" s="106"/>
      <c r="AB452" s="106"/>
      <c r="AC452" s="106"/>
      <c r="AD452" s="106"/>
      <c r="AE452" s="106"/>
      <c r="AF452" s="106"/>
      <c r="AG452" s="106"/>
      <c r="AH452" s="106"/>
      <c r="AI452" s="106"/>
      <c r="AJ452" s="106"/>
      <c r="AM452" s="96"/>
      <c r="AN452" s="96"/>
      <c r="AO452" s="96"/>
      <c r="AP452" s="96"/>
      <c r="AQ452" s="96"/>
      <c r="AR452" s="96"/>
    </row>
    <row r="453" spans="1:44" s="6" customFormat="1" ht="15" hidden="1" customHeight="1">
      <c r="A453" s="106"/>
      <c r="B453" s="106"/>
      <c r="C453" s="106"/>
      <c r="D453" s="106"/>
      <c r="E453" s="106"/>
      <c r="F453" s="106"/>
      <c r="G453" s="106"/>
      <c r="H453" s="106"/>
      <c r="I453" s="106"/>
      <c r="J453" s="106"/>
      <c r="K453" s="106"/>
      <c r="L453" s="106"/>
      <c r="M453" s="106"/>
      <c r="N453" s="106"/>
      <c r="O453" s="106"/>
      <c r="P453" s="106"/>
      <c r="Q453" s="106"/>
      <c r="R453" s="106"/>
      <c r="S453" s="106"/>
      <c r="T453" s="106"/>
      <c r="U453" s="106"/>
      <c r="V453" s="106"/>
      <c r="W453" s="106"/>
      <c r="X453" s="106"/>
      <c r="Y453" s="106"/>
      <c r="Z453" s="106"/>
      <c r="AA453" s="106"/>
      <c r="AB453" s="106"/>
      <c r="AC453" s="106"/>
      <c r="AD453" s="106"/>
      <c r="AE453" s="106"/>
      <c r="AF453" s="106"/>
      <c r="AG453" s="106"/>
      <c r="AH453" s="106"/>
      <c r="AI453" s="106"/>
      <c r="AJ453" s="106"/>
      <c r="AM453" s="96"/>
      <c r="AN453" s="96"/>
      <c r="AO453" s="96"/>
      <c r="AP453" s="96"/>
      <c r="AQ453" s="96"/>
      <c r="AR453" s="96"/>
    </row>
    <row r="454" spans="1:44" s="6" customFormat="1" ht="15" hidden="1" customHeight="1">
      <c r="A454" s="106"/>
      <c r="B454" s="106"/>
      <c r="C454" s="106"/>
      <c r="D454" s="106"/>
      <c r="E454" s="106"/>
      <c r="F454" s="106"/>
      <c r="G454" s="106"/>
      <c r="H454" s="106"/>
      <c r="I454" s="106"/>
      <c r="J454" s="106"/>
      <c r="K454" s="106"/>
      <c r="L454" s="106"/>
      <c r="M454" s="106"/>
      <c r="N454" s="106"/>
      <c r="O454" s="106"/>
      <c r="P454" s="106"/>
      <c r="Q454" s="106"/>
      <c r="R454" s="106"/>
      <c r="S454" s="106"/>
      <c r="T454" s="106"/>
      <c r="U454" s="106"/>
      <c r="V454" s="106"/>
      <c r="W454" s="106"/>
      <c r="X454" s="106"/>
      <c r="Y454" s="106"/>
      <c r="Z454" s="106"/>
      <c r="AA454" s="106"/>
      <c r="AB454" s="106"/>
      <c r="AC454" s="106"/>
      <c r="AD454" s="106"/>
      <c r="AE454" s="106"/>
      <c r="AF454" s="106"/>
      <c r="AG454" s="106"/>
      <c r="AH454" s="106"/>
      <c r="AI454" s="106"/>
      <c r="AJ454" s="106"/>
      <c r="AM454" s="96"/>
      <c r="AN454" s="96"/>
      <c r="AO454" s="96"/>
      <c r="AP454" s="96"/>
      <c r="AQ454" s="96"/>
      <c r="AR454" s="96"/>
    </row>
    <row r="455" spans="1:44" s="6" customFormat="1" ht="15" hidden="1" customHeight="1">
      <c r="A455" s="106"/>
      <c r="B455" s="106"/>
      <c r="C455" s="106"/>
      <c r="D455" s="106"/>
      <c r="E455" s="106"/>
      <c r="F455" s="106"/>
      <c r="G455" s="106"/>
      <c r="H455" s="106"/>
      <c r="I455" s="106"/>
      <c r="J455" s="106"/>
      <c r="K455" s="106"/>
      <c r="L455" s="106"/>
      <c r="M455" s="106"/>
      <c r="N455" s="106"/>
      <c r="O455" s="106"/>
      <c r="P455" s="106"/>
      <c r="Q455" s="106"/>
      <c r="R455" s="106"/>
      <c r="S455" s="106"/>
      <c r="T455" s="106"/>
      <c r="U455" s="106"/>
      <c r="V455" s="106"/>
      <c r="W455" s="106"/>
      <c r="X455" s="106"/>
      <c r="Y455" s="106"/>
      <c r="Z455" s="106"/>
      <c r="AA455" s="106"/>
      <c r="AB455" s="106"/>
      <c r="AC455" s="106"/>
      <c r="AD455" s="106"/>
      <c r="AE455" s="106"/>
      <c r="AF455" s="106"/>
      <c r="AG455" s="106"/>
      <c r="AH455" s="106"/>
      <c r="AI455" s="106"/>
      <c r="AJ455" s="106"/>
      <c r="AM455" s="96"/>
      <c r="AN455" s="96"/>
      <c r="AO455" s="96"/>
      <c r="AP455" s="96"/>
      <c r="AQ455" s="96"/>
      <c r="AR455" s="96"/>
    </row>
    <row r="456" spans="1:44" s="6" customFormat="1" ht="15" hidden="1" customHeight="1">
      <c r="A456" s="106"/>
      <c r="B456" s="106"/>
      <c r="C456" s="106"/>
      <c r="D456" s="106"/>
      <c r="E456" s="106"/>
      <c r="F456" s="106"/>
      <c r="G456" s="106"/>
      <c r="H456" s="106"/>
      <c r="I456" s="106"/>
      <c r="J456" s="106"/>
      <c r="K456" s="106"/>
      <c r="L456" s="106"/>
      <c r="M456" s="106"/>
      <c r="N456" s="106"/>
      <c r="O456" s="106"/>
      <c r="P456" s="106"/>
      <c r="Q456" s="106"/>
      <c r="R456" s="106"/>
      <c r="S456" s="106"/>
      <c r="T456" s="106"/>
      <c r="U456" s="106"/>
      <c r="V456" s="106"/>
      <c r="W456" s="106"/>
      <c r="X456" s="106"/>
      <c r="Y456" s="106"/>
      <c r="Z456" s="106"/>
      <c r="AA456" s="106"/>
      <c r="AB456" s="106"/>
      <c r="AC456" s="106"/>
      <c r="AD456" s="106"/>
      <c r="AE456" s="106"/>
      <c r="AF456" s="106"/>
      <c r="AG456" s="106"/>
      <c r="AH456" s="106"/>
      <c r="AI456" s="106"/>
      <c r="AJ456" s="106"/>
      <c r="AM456" s="96"/>
      <c r="AN456" s="96"/>
      <c r="AO456" s="96"/>
      <c r="AP456" s="96"/>
      <c r="AQ456" s="96"/>
      <c r="AR456" s="96"/>
    </row>
    <row r="457" spans="1:44" s="6" customFormat="1" ht="15" hidden="1" customHeight="1">
      <c r="A457" s="106"/>
      <c r="B457" s="106"/>
      <c r="C457" s="106"/>
      <c r="D457" s="106"/>
      <c r="E457" s="106"/>
      <c r="F457" s="106"/>
      <c r="G457" s="106"/>
      <c r="H457" s="106"/>
      <c r="I457" s="106"/>
      <c r="J457" s="106"/>
      <c r="K457" s="106"/>
      <c r="L457" s="106"/>
      <c r="M457" s="106"/>
      <c r="N457" s="106"/>
      <c r="O457" s="106"/>
      <c r="P457" s="106"/>
      <c r="Q457" s="106"/>
      <c r="R457" s="106"/>
      <c r="S457" s="106"/>
      <c r="T457" s="106"/>
      <c r="U457" s="106"/>
      <c r="V457" s="106"/>
      <c r="W457" s="106"/>
      <c r="X457" s="106"/>
      <c r="Y457" s="106"/>
      <c r="Z457" s="106"/>
      <c r="AA457" s="106"/>
      <c r="AB457" s="106"/>
      <c r="AC457" s="106"/>
      <c r="AD457" s="106"/>
      <c r="AE457" s="106"/>
      <c r="AF457" s="106"/>
      <c r="AG457" s="106"/>
      <c r="AH457" s="106"/>
      <c r="AI457" s="106"/>
      <c r="AJ457" s="106"/>
      <c r="AM457" s="96"/>
      <c r="AN457" s="96"/>
      <c r="AO457" s="96"/>
      <c r="AP457" s="96"/>
      <c r="AQ457" s="96"/>
      <c r="AR457" s="96"/>
    </row>
    <row r="458" spans="1:44" s="6" customFormat="1" ht="15" hidden="1" customHeight="1">
      <c r="A458" s="106"/>
      <c r="B458" s="106"/>
      <c r="C458" s="106"/>
      <c r="D458" s="106"/>
      <c r="E458" s="106"/>
      <c r="F458" s="106"/>
      <c r="G458" s="106"/>
      <c r="H458" s="106"/>
      <c r="I458" s="106"/>
      <c r="J458" s="106"/>
      <c r="K458" s="106"/>
      <c r="L458" s="106"/>
      <c r="M458" s="106"/>
      <c r="N458" s="106"/>
      <c r="O458" s="106"/>
      <c r="P458" s="106"/>
      <c r="Q458" s="106"/>
      <c r="R458" s="106"/>
      <c r="S458" s="106"/>
      <c r="T458" s="106"/>
      <c r="U458" s="106"/>
      <c r="V458" s="106"/>
      <c r="W458" s="106"/>
      <c r="X458" s="106"/>
      <c r="Y458" s="106"/>
      <c r="Z458" s="106"/>
      <c r="AA458" s="106"/>
      <c r="AB458" s="106"/>
      <c r="AC458" s="106"/>
      <c r="AD458" s="106"/>
      <c r="AE458" s="106"/>
      <c r="AF458" s="106"/>
      <c r="AG458" s="106"/>
      <c r="AH458" s="106"/>
      <c r="AI458" s="106"/>
      <c r="AJ458" s="106"/>
      <c r="AM458" s="96"/>
      <c r="AN458" s="96"/>
      <c r="AO458" s="96"/>
      <c r="AP458" s="96"/>
      <c r="AQ458" s="96"/>
      <c r="AR458" s="96"/>
    </row>
    <row r="459" spans="1:44" s="6" customFormat="1" ht="15" hidden="1" customHeight="1">
      <c r="A459" s="106"/>
      <c r="B459" s="106"/>
      <c r="C459" s="106"/>
      <c r="D459" s="106"/>
      <c r="E459" s="106"/>
      <c r="F459" s="106"/>
      <c r="G459" s="106"/>
      <c r="H459" s="106"/>
      <c r="I459" s="106"/>
      <c r="J459" s="106"/>
      <c r="K459" s="106"/>
      <c r="L459" s="106"/>
      <c r="M459" s="106"/>
      <c r="N459" s="106"/>
      <c r="O459" s="106"/>
      <c r="P459" s="106"/>
      <c r="Q459" s="106"/>
      <c r="R459" s="106"/>
      <c r="S459" s="106"/>
      <c r="T459" s="106"/>
      <c r="U459" s="106"/>
      <c r="V459" s="106"/>
      <c r="W459" s="106"/>
      <c r="X459" s="106"/>
      <c r="Y459" s="106"/>
      <c r="Z459" s="106"/>
      <c r="AA459" s="106"/>
      <c r="AB459" s="106"/>
      <c r="AC459" s="106"/>
      <c r="AD459" s="106"/>
      <c r="AE459" s="106"/>
      <c r="AF459" s="106"/>
      <c r="AG459" s="106"/>
      <c r="AH459" s="106"/>
      <c r="AI459" s="106"/>
      <c r="AJ459" s="106"/>
      <c r="AM459" s="96"/>
      <c r="AN459" s="96"/>
      <c r="AO459" s="96"/>
      <c r="AP459" s="96"/>
      <c r="AQ459" s="96"/>
      <c r="AR459" s="96"/>
    </row>
    <row r="460" spans="1:44" s="6" customFormat="1" ht="15" hidden="1" customHeight="1">
      <c r="A460" s="106"/>
      <c r="B460" s="106"/>
      <c r="C460" s="106"/>
      <c r="D460" s="106"/>
      <c r="E460" s="106"/>
      <c r="F460" s="106"/>
      <c r="G460" s="106"/>
      <c r="H460" s="106"/>
      <c r="I460" s="106"/>
      <c r="J460" s="106"/>
      <c r="K460" s="106"/>
      <c r="L460" s="106"/>
      <c r="M460" s="106"/>
      <c r="N460" s="106"/>
      <c r="O460" s="106"/>
      <c r="P460" s="106"/>
      <c r="Q460" s="106"/>
      <c r="R460" s="106"/>
      <c r="S460" s="106"/>
      <c r="T460" s="106"/>
      <c r="U460" s="106"/>
      <c r="V460" s="106"/>
      <c r="W460" s="106"/>
      <c r="X460" s="106"/>
      <c r="Y460" s="106"/>
      <c r="Z460" s="106"/>
      <c r="AA460" s="106"/>
      <c r="AB460" s="106"/>
      <c r="AC460" s="106"/>
      <c r="AD460" s="106"/>
      <c r="AE460" s="106"/>
      <c r="AF460" s="106"/>
      <c r="AG460" s="106"/>
      <c r="AH460" s="106"/>
      <c r="AI460" s="106"/>
      <c r="AJ460" s="106"/>
      <c r="AM460" s="96"/>
      <c r="AN460" s="96"/>
      <c r="AO460" s="96"/>
      <c r="AP460" s="96"/>
      <c r="AQ460" s="96"/>
      <c r="AR460" s="96"/>
    </row>
    <row r="461" spans="1:44" s="6" customFormat="1" ht="15" hidden="1" customHeight="1">
      <c r="A461" s="106"/>
      <c r="B461" s="106"/>
      <c r="C461" s="106"/>
      <c r="D461" s="106"/>
      <c r="E461" s="106"/>
      <c r="F461" s="106"/>
      <c r="G461" s="106"/>
      <c r="H461" s="106"/>
      <c r="I461" s="106"/>
      <c r="J461" s="106"/>
      <c r="K461" s="106"/>
      <c r="L461" s="106"/>
      <c r="M461" s="106"/>
      <c r="N461" s="106"/>
      <c r="O461" s="106"/>
      <c r="P461" s="106"/>
      <c r="Q461" s="106"/>
      <c r="R461" s="106"/>
      <c r="S461" s="106"/>
      <c r="T461" s="106"/>
      <c r="U461" s="106"/>
      <c r="V461" s="106"/>
      <c r="W461" s="106"/>
      <c r="X461" s="106"/>
      <c r="Y461" s="106"/>
      <c r="Z461" s="106"/>
      <c r="AA461" s="106"/>
      <c r="AB461" s="106"/>
      <c r="AC461" s="106"/>
      <c r="AD461" s="106"/>
      <c r="AE461" s="106"/>
      <c r="AF461" s="106"/>
      <c r="AG461" s="106"/>
      <c r="AH461" s="106"/>
      <c r="AI461" s="106"/>
      <c r="AJ461" s="106"/>
      <c r="AM461" s="96"/>
      <c r="AN461" s="96"/>
      <c r="AO461" s="96"/>
      <c r="AP461" s="96"/>
      <c r="AQ461" s="96"/>
      <c r="AR461" s="96"/>
    </row>
    <row r="462" spans="1:44" s="6" customFormat="1" ht="15" hidden="1" customHeight="1">
      <c r="A462" s="106"/>
      <c r="B462" s="106"/>
      <c r="C462" s="106"/>
      <c r="D462" s="106"/>
      <c r="E462" s="106"/>
      <c r="F462" s="106"/>
      <c r="G462" s="106"/>
      <c r="H462" s="106"/>
      <c r="I462" s="106"/>
      <c r="J462" s="106"/>
      <c r="K462" s="106"/>
      <c r="L462" s="106"/>
      <c r="M462" s="106"/>
      <c r="N462" s="106"/>
      <c r="O462" s="106"/>
      <c r="P462" s="106"/>
      <c r="Q462" s="106"/>
      <c r="R462" s="106"/>
      <c r="S462" s="106"/>
      <c r="T462" s="106"/>
      <c r="U462" s="106"/>
      <c r="V462" s="106"/>
      <c r="W462" s="106"/>
      <c r="X462" s="106"/>
      <c r="Y462" s="106"/>
      <c r="Z462" s="106"/>
      <c r="AA462" s="106"/>
      <c r="AB462" s="106"/>
      <c r="AC462" s="106"/>
      <c r="AD462" s="106"/>
      <c r="AE462" s="106"/>
      <c r="AF462" s="106"/>
      <c r="AG462" s="106"/>
      <c r="AH462" s="106"/>
      <c r="AI462" s="106"/>
      <c r="AJ462" s="106"/>
      <c r="AM462" s="96"/>
      <c r="AN462" s="96"/>
      <c r="AO462" s="96"/>
      <c r="AP462" s="96"/>
      <c r="AQ462" s="96"/>
      <c r="AR462" s="96"/>
    </row>
    <row r="463" spans="1:44" s="6" customFormat="1" ht="15" hidden="1" customHeight="1">
      <c r="A463" s="106"/>
      <c r="B463" s="106"/>
      <c r="C463" s="106"/>
      <c r="D463" s="106"/>
      <c r="E463" s="106"/>
      <c r="F463" s="106"/>
      <c r="G463" s="106"/>
      <c r="H463" s="106"/>
      <c r="I463" s="106"/>
      <c r="J463" s="106"/>
      <c r="K463" s="106"/>
      <c r="L463" s="106"/>
      <c r="M463" s="106"/>
      <c r="N463" s="106"/>
      <c r="O463" s="106"/>
      <c r="P463" s="106"/>
      <c r="Q463" s="106"/>
      <c r="R463" s="106"/>
      <c r="S463" s="106"/>
      <c r="T463" s="106"/>
      <c r="U463" s="106"/>
      <c r="V463" s="106"/>
      <c r="W463" s="106"/>
      <c r="X463" s="106"/>
      <c r="Y463" s="106"/>
      <c r="Z463" s="106"/>
      <c r="AA463" s="106"/>
      <c r="AB463" s="106"/>
      <c r="AC463" s="106"/>
      <c r="AD463" s="106"/>
      <c r="AE463" s="106"/>
      <c r="AF463" s="106"/>
      <c r="AG463" s="106"/>
      <c r="AH463" s="106"/>
      <c r="AI463" s="106"/>
      <c r="AJ463" s="106"/>
      <c r="AM463" s="96"/>
      <c r="AN463" s="96"/>
      <c r="AO463" s="96"/>
      <c r="AP463" s="96"/>
      <c r="AQ463" s="96"/>
      <c r="AR463" s="96"/>
    </row>
    <row r="464" spans="1:44" s="6" customFormat="1" ht="15" hidden="1" customHeight="1">
      <c r="A464" s="106"/>
      <c r="B464" s="106"/>
      <c r="C464" s="106"/>
      <c r="D464" s="106"/>
      <c r="E464" s="106"/>
      <c r="F464" s="106"/>
      <c r="G464" s="106"/>
      <c r="H464" s="106"/>
      <c r="I464" s="106"/>
      <c r="J464" s="106"/>
      <c r="K464" s="106"/>
      <c r="L464" s="106"/>
      <c r="M464" s="106"/>
      <c r="N464" s="106"/>
      <c r="O464" s="106"/>
      <c r="P464" s="106"/>
      <c r="Q464" s="106"/>
      <c r="R464" s="106"/>
      <c r="S464" s="106"/>
      <c r="T464" s="106"/>
      <c r="U464" s="106"/>
      <c r="V464" s="106"/>
      <c r="W464" s="106"/>
      <c r="X464" s="106"/>
      <c r="Y464" s="106"/>
      <c r="Z464" s="106"/>
      <c r="AA464" s="106"/>
      <c r="AB464" s="106"/>
      <c r="AC464" s="106"/>
      <c r="AD464" s="106"/>
      <c r="AE464" s="106"/>
      <c r="AF464" s="106"/>
      <c r="AG464" s="106"/>
      <c r="AH464" s="106"/>
      <c r="AI464" s="106"/>
      <c r="AJ464" s="106"/>
      <c r="AM464" s="96"/>
      <c r="AN464" s="96"/>
      <c r="AO464" s="96"/>
      <c r="AP464" s="96"/>
      <c r="AQ464" s="96"/>
      <c r="AR464" s="96"/>
    </row>
    <row r="471" spans="1:44" ht="20.100000000000001" hidden="1" customHeight="1">
      <c r="AK471" s="30"/>
    </row>
    <row r="472" spans="1:44" ht="12.75" hidden="1" customHeight="1"/>
    <row r="473" spans="1:44" s="6" customFormat="1" hidden="1">
      <c r="A473" s="106"/>
      <c r="B473" s="106"/>
      <c r="C473" s="106"/>
      <c r="D473" s="106"/>
      <c r="E473" s="106"/>
      <c r="F473" s="106"/>
      <c r="G473" s="106"/>
      <c r="H473" s="106"/>
      <c r="I473" s="106"/>
      <c r="J473" s="106"/>
      <c r="K473" s="106"/>
      <c r="L473" s="106"/>
      <c r="M473" s="106"/>
      <c r="N473" s="106"/>
      <c r="O473" s="106"/>
      <c r="P473" s="106"/>
      <c r="Q473" s="106"/>
      <c r="R473" s="106"/>
      <c r="S473" s="106"/>
      <c r="T473" s="106"/>
      <c r="U473" s="106"/>
      <c r="V473" s="106"/>
      <c r="W473" s="106"/>
      <c r="X473" s="106"/>
      <c r="Y473" s="106"/>
      <c r="Z473" s="106"/>
      <c r="AA473" s="106"/>
      <c r="AB473" s="106"/>
      <c r="AC473" s="106"/>
      <c r="AD473" s="106"/>
      <c r="AE473" s="106"/>
      <c r="AF473" s="106"/>
      <c r="AG473" s="106"/>
      <c r="AH473" s="106"/>
      <c r="AI473" s="106"/>
      <c r="AJ473" s="106"/>
      <c r="AM473" s="96"/>
      <c r="AN473" s="96"/>
      <c r="AO473" s="96"/>
      <c r="AP473" s="96"/>
      <c r="AQ473" s="96"/>
      <c r="AR473" s="96"/>
    </row>
    <row r="474" spans="1:44" s="6" customFormat="1" hidden="1">
      <c r="A474" s="106"/>
      <c r="B474" s="106"/>
      <c r="C474" s="106"/>
      <c r="D474" s="106"/>
      <c r="E474" s="106"/>
      <c r="F474" s="106"/>
      <c r="G474" s="106"/>
      <c r="H474" s="106"/>
      <c r="I474" s="106"/>
      <c r="J474" s="106"/>
      <c r="K474" s="106"/>
      <c r="L474" s="106"/>
      <c r="M474" s="106"/>
      <c r="N474" s="106"/>
      <c r="O474" s="106"/>
      <c r="P474" s="106"/>
      <c r="Q474" s="106"/>
      <c r="R474" s="106"/>
      <c r="S474" s="106"/>
      <c r="T474" s="106"/>
      <c r="U474" s="106"/>
      <c r="V474" s="106"/>
      <c r="W474" s="106"/>
      <c r="X474" s="106"/>
      <c r="Y474" s="106"/>
      <c r="Z474" s="106"/>
      <c r="AA474" s="106"/>
      <c r="AB474" s="106"/>
      <c r="AC474" s="106"/>
      <c r="AD474" s="106"/>
      <c r="AE474" s="106"/>
      <c r="AF474" s="106"/>
      <c r="AG474" s="106"/>
      <c r="AH474" s="106"/>
      <c r="AI474" s="106"/>
      <c r="AJ474" s="106"/>
      <c r="AM474" s="96"/>
      <c r="AN474" s="96"/>
      <c r="AO474" s="96"/>
      <c r="AP474" s="96"/>
      <c r="AQ474" s="96"/>
      <c r="AR474" s="96"/>
    </row>
    <row r="475" spans="1:44" s="6" customFormat="1" ht="12.75" hidden="1" customHeight="1">
      <c r="A475" s="106"/>
      <c r="B475" s="106"/>
      <c r="C475" s="106"/>
      <c r="D475" s="106"/>
      <c r="E475" s="106"/>
      <c r="F475" s="106"/>
      <c r="G475" s="106"/>
      <c r="H475" s="106"/>
      <c r="I475" s="106"/>
      <c r="J475" s="106"/>
      <c r="K475" s="106"/>
      <c r="L475" s="106"/>
      <c r="M475" s="106"/>
      <c r="N475" s="106"/>
      <c r="O475" s="106"/>
      <c r="P475" s="106"/>
      <c r="Q475" s="106"/>
      <c r="R475" s="106"/>
      <c r="S475" s="106"/>
      <c r="T475" s="106"/>
      <c r="U475" s="106"/>
      <c r="V475" s="106"/>
      <c r="W475" s="106"/>
      <c r="X475" s="106"/>
      <c r="Y475" s="106"/>
      <c r="Z475" s="106"/>
      <c r="AA475" s="106"/>
      <c r="AB475" s="106"/>
      <c r="AC475" s="106"/>
      <c r="AD475" s="106"/>
      <c r="AE475" s="106"/>
      <c r="AF475" s="106"/>
      <c r="AG475" s="106"/>
      <c r="AH475" s="106"/>
      <c r="AI475" s="106"/>
      <c r="AJ475" s="106"/>
      <c r="AM475" s="96"/>
      <c r="AN475" s="96"/>
      <c r="AO475" s="96"/>
      <c r="AP475" s="96"/>
      <c r="AQ475" s="96"/>
      <c r="AR475" s="96"/>
    </row>
    <row r="476" spans="1:44" s="6" customFormat="1" ht="13.5" hidden="1" customHeight="1">
      <c r="A476" s="106"/>
      <c r="B476" s="106"/>
      <c r="C476" s="106"/>
      <c r="D476" s="106"/>
      <c r="E476" s="106"/>
      <c r="F476" s="106"/>
      <c r="G476" s="106"/>
      <c r="H476" s="106"/>
      <c r="I476" s="106"/>
      <c r="J476" s="106"/>
      <c r="K476" s="106"/>
      <c r="L476" s="106"/>
      <c r="M476" s="106"/>
      <c r="N476" s="106"/>
      <c r="O476" s="106"/>
      <c r="P476" s="106"/>
      <c r="Q476" s="106"/>
      <c r="R476" s="106"/>
      <c r="S476" s="106"/>
      <c r="T476" s="106"/>
      <c r="U476" s="106"/>
      <c r="V476" s="106"/>
      <c r="W476" s="106"/>
      <c r="X476" s="106"/>
      <c r="Y476" s="106"/>
      <c r="Z476" s="106"/>
      <c r="AA476" s="106"/>
      <c r="AB476" s="106"/>
      <c r="AC476" s="106"/>
      <c r="AD476" s="106"/>
      <c r="AE476" s="106"/>
      <c r="AF476" s="106"/>
      <c r="AG476" s="106"/>
      <c r="AH476" s="106"/>
      <c r="AI476" s="106"/>
      <c r="AJ476" s="106"/>
      <c r="AM476" s="96"/>
      <c r="AN476" s="96"/>
      <c r="AO476" s="96"/>
      <c r="AP476" s="96"/>
      <c r="AQ476" s="96"/>
      <c r="AR476" s="96"/>
    </row>
    <row r="477" spans="1:44" s="6" customFormat="1" hidden="1">
      <c r="A477" s="106"/>
      <c r="B477" s="106"/>
      <c r="C477" s="106"/>
      <c r="D477" s="106"/>
      <c r="E477" s="106"/>
      <c r="F477" s="106"/>
      <c r="G477" s="106"/>
      <c r="H477" s="106"/>
      <c r="I477" s="106"/>
      <c r="J477" s="106"/>
      <c r="K477" s="106"/>
      <c r="L477" s="106"/>
      <c r="M477" s="106"/>
      <c r="N477" s="106"/>
      <c r="O477" s="106"/>
      <c r="P477" s="106"/>
      <c r="Q477" s="106"/>
      <c r="R477" s="106"/>
      <c r="S477" s="106"/>
      <c r="T477" s="106"/>
      <c r="U477" s="106"/>
      <c r="V477" s="106"/>
      <c r="W477" s="106"/>
      <c r="X477" s="106"/>
      <c r="Y477" s="106"/>
      <c r="Z477" s="106"/>
      <c r="AA477" s="106"/>
      <c r="AB477" s="106"/>
      <c r="AC477" s="106"/>
      <c r="AD477" s="106"/>
      <c r="AE477" s="106"/>
      <c r="AF477" s="106"/>
      <c r="AG477" s="106"/>
      <c r="AH477" s="106"/>
      <c r="AI477" s="106"/>
      <c r="AJ477" s="106"/>
      <c r="AM477" s="96"/>
      <c r="AN477" s="96"/>
      <c r="AO477" s="96"/>
      <c r="AP477" s="96"/>
      <c r="AQ477" s="96"/>
      <c r="AR477" s="96"/>
    </row>
    <row r="478" spans="1:44" s="6" customFormat="1" ht="13.5" hidden="1" customHeight="1">
      <c r="A478" s="106"/>
      <c r="B478" s="106"/>
      <c r="C478" s="106"/>
      <c r="D478" s="106"/>
      <c r="E478" s="106"/>
      <c r="F478" s="106"/>
      <c r="G478" s="106"/>
      <c r="H478" s="106"/>
      <c r="I478" s="106"/>
      <c r="J478" s="106"/>
      <c r="K478" s="106"/>
      <c r="L478" s="106"/>
      <c r="M478" s="106"/>
      <c r="N478" s="106"/>
      <c r="O478" s="106"/>
      <c r="P478" s="106"/>
      <c r="Q478" s="106"/>
      <c r="R478" s="106"/>
      <c r="S478" s="106"/>
      <c r="T478" s="106"/>
      <c r="U478" s="106"/>
      <c r="V478" s="106"/>
      <c r="W478" s="106"/>
      <c r="X478" s="106"/>
      <c r="Y478" s="106"/>
      <c r="Z478" s="106"/>
      <c r="AA478" s="106"/>
      <c r="AB478" s="106"/>
      <c r="AC478" s="106"/>
      <c r="AD478" s="106"/>
      <c r="AE478" s="106"/>
      <c r="AF478" s="106"/>
      <c r="AG478" s="106"/>
      <c r="AH478" s="106"/>
      <c r="AI478" s="106"/>
      <c r="AJ478" s="106"/>
      <c r="AM478" s="96"/>
      <c r="AN478" s="96"/>
      <c r="AO478" s="96"/>
      <c r="AP478" s="96"/>
      <c r="AQ478" s="96"/>
      <c r="AR478" s="96"/>
    </row>
    <row r="479" spans="1:44" s="6" customFormat="1" hidden="1">
      <c r="A479" s="106"/>
      <c r="B479" s="106"/>
      <c r="C479" s="106"/>
      <c r="D479" s="106"/>
      <c r="E479" s="106"/>
      <c r="F479" s="106"/>
      <c r="G479" s="106"/>
      <c r="H479" s="106"/>
      <c r="I479" s="106"/>
      <c r="J479" s="106"/>
      <c r="K479" s="106"/>
      <c r="L479" s="106"/>
      <c r="M479" s="106"/>
      <c r="N479" s="106"/>
      <c r="O479" s="106"/>
      <c r="P479" s="106"/>
      <c r="Q479" s="106"/>
      <c r="R479" s="106"/>
      <c r="S479" s="106"/>
      <c r="T479" s="106"/>
      <c r="U479" s="106"/>
      <c r="V479" s="106"/>
      <c r="W479" s="106"/>
      <c r="X479" s="106"/>
      <c r="Y479" s="106"/>
      <c r="Z479" s="106"/>
      <c r="AA479" s="106"/>
      <c r="AB479" s="106"/>
      <c r="AC479" s="106"/>
      <c r="AD479" s="106"/>
      <c r="AE479" s="106"/>
      <c r="AF479" s="106"/>
      <c r="AG479" s="106"/>
      <c r="AH479" s="106"/>
      <c r="AI479" s="106"/>
      <c r="AJ479" s="106"/>
      <c r="AM479" s="96"/>
      <c r="AN479" s="96"/>
      <c r="AO479" s="96"/>
      <c r="AP479" s="96"/>
      <c r="AQ479" s="96"/>
      <c r="AR479" s="96"/>
    </row>
    <row r="480" spans="1:44" s="6" customFormat="1" hidden="1">
      <c r="A480" s="106"/>
      <c r="B480" s="106"/>
      <c r="C480" s="106"/>
      <c r="D480" s="106"/>
      <c r="E480" s="106"/>
      <c r="F480" s="106"/>
      <c r="G480" s="106"/>
      <c r="H480" s="106"/>
      <c r="I480" s="106"/>
      <c r="J480" s="106"/>
      <c r="K480" s="106"/>
      <c r="L480" s="106"/>
      <c r="M480" s="106"/>
      <c r="N480" s="106"/>
      <c r="O480" s="106"/>
      <c r="P480" s="106"/>
      <c r="Q480" s="106"/>
      <c r="R480" s="106"/>
      <c r="S480" s="106"/>
      <c r="T480" s="106"/>
      <c r="U480" s="106"/>
      <c r="V480" s="106"/>
      <c r="W480" s="106"/>
      <c r="X480" s="106"/>
      <c r="Y480" s="106"/>
      <c r="Z480" s="106"/>
      <c r="AA480" s="106"/>
      <c r="AB480" s="106"/>
      <c r="AC480" s="106"/>
      <c r="AD480" s="106"/>
      <c r="AE480" s="106"/>
      <c r="AF480" s="106"/>
      <c r="AG480" s="106"/>
      <c r="AH480" s="106"/>
      <c r="AI480" s="106"/>
      <c r="AJ480" s="106"/>
      <c r="AM480" s="96"/>
      <c r="AN480" s="96"/>
      <c r="AO480" s="96"/>
      <c r="AP480" s="96"/>
      <c r="AQ480" s="96"/>
      <c r="AR480" s="96"/>
    </row>
    <row r="481" spans="1:44" s="6" customFormat="1" hidden="1">
      <c r="A481" s="106"/>
      <c r="B481" s="106"/>
      <c r="C481" s="106"/>
      <c r="D481" s="106"/>
      <c r="E481" s="106"/>
      <c r="F481" s="106"/>
      <c r="G481" s="106"/>
      <c r="H481" s="106"/>
      <c r="I481" s="106"/>
      <c r="J481" s="106"/>
      <c r="K481" s="106"/>
      <c r="L481" s="106"/>
      <c r="M481" s="106"/>
      <c r="N481" s="106"/>
      <c r="O481" s="106"/>
      <c r="P481" s="106"/>
      <c r="Q481" s="106"/>
      <c r="R481" s="106"/>
      <c r="S481" s="106"/>
      <c r="T481" s="106"/>
      <c r="U481" s="106"/>
      <c r="V481" s="106"/>
      <c r="W481" s="106"/>
      <c r="X481" s="106"/>
      <c r="Y481" s="106"/>
      <c r="Z481" s="106"/>
      <c r="AA481" s="106"/>
      <c r="AB481" s="106"/>
      <c r="AC481" s="106"/>
      <c r="AD481" s="106"/>
      <c r="AE481" s="106"/>
      <c r="AF481" s="106"/>
      <c r="AG481" s="106"/>
      <c r="AH481" s="106"/>
      <c r="AI481" s="106"/>
      <c r="AJ481" s="106"/>
      <c r="AM481" s="96"/>
      <c r="AN481" s="96"/>
      <c r="AO481" s="96"/>
      <c r="AP481" s="96"/>
      <c r="AQ481" s="96"/>
      <c r="AR481" s="96"/>
    </row>
    <row r="482" spans="1:44" s="6" customFormat="1" hidden="1">
      <c r="A482" s="106"/>
      <c r="B482" s="106"/>
      <c r="C482" s="106"/>
      <c r="D482" s="106"/>
      <c r="E482" s="106"/>
      <c r="F482" s="106"/>
      <c r="G482" s="106"/>
      <c r="H482" s="106"/>
      <c r="I482" s="106"/>
      <c r="J482" s="106"/>
      <c r="K482" s="106"/>
      <c r="L482" s="106"/>
      <c r="M482" s="106"/>
      <c r="N482" s="106"/>
      <c r="O482" s="106"/>
      <c r="P482" s="106"/>
      <c r="Q482" s="106"/>
      <c r="R482" s="106"/>
      <c r="S482" s="106"/>
      <c r="T482" s="106"/>
      <c r="U482" s="106"/>
      <c r="V482" s="106"/>
      <c r="W482" s="106"/>
      <c r="X482" s="106"/>
      <c r="Y482" s="106"/>
      <c r="Z482" s="106"/>
      <c r="AA482" s="106"/>
      <c r="AB482" s="106"/>
      <c r="AC482" s="106"/>
      <c r="AD482" s="106"/>
      <c r="AE482" s="106"/>
      <c r="AF482" s="106"/>
      <c r="AG482" s="106"/>
      <c r="AH482" s="106"/>
      <c r="AI482" s="106"/>
      <c r="AJ482" s="106"/>
      <c r="AM482" s="96"/>
      <c r="AN482" s="96"/>
      <c r="AO482" s="96"/>
      <c r="AP482" s="96"/>
      <c r="AQ482" s="96"/>
      <c r="AR482" s="96"/>
    </row>
    <row r="483" spans="1:44" s="6" customFormat="1" hidden="1">
      <c r="A483" s="106"/>
      <c r="B483" s="106"/>
      <c r="C483" s="106"/>
      <c r="D483" s="106"/>
      <c r="E483" s="106"/>
      <c r="F483" s="106"/>
      <c r="G483" s="106"/>
      <c r="H483" s="106"/>
      <c r="I483" s="106"/>
      <c r="J483" s="106"/>
      <c r="K483" s="106"/>
      <c r="L483" s="106"/>
      <c r="M483" s="106"/>
      <c r="N483" s="106"/>
      <c r="O483" s="106"/>
      <c r="P483" s="106"/>
      <c r="Q483" s="106"/>
      <c r="R483" s="106"/>
      <c r="S483" s="106"/>
      <c r="T483" s="106"/>
      <c r="U483" s="106"/>
      <c r="V483" s="106"/>
      <c r="W483" s="106"/>
      <c r="X483" s="106"/>
      <c r="Y483" s="106"/>
      <c r="Z483" s="106"/>
      <c r="AA483" s="106"/>
      <c r="AB483" s="106"/>
      <c r="AC483" s="106"/>
      <c r="AD483" s="106"/>
      <c r="AE483" s="106"/>
      <c r="AF483" s="106"/>
      <c r="AG483" s="106"/>
      <c r="AH483" s="106"/>
      <c r="AI483" s="106"/>
      <c r="AJ483" s="106"/>
      <c r="AM483" s="96"/>
      <c r="AN483" s="96"/>
      <c r="AO483" s="96"/>
      <c r="AP483" s="96"/>
      <c r="AQ483" s="96"/>
      <c r="AR483" s="96"/>
    </row>
    <row r="484" spans="1:44" s="6" customFormat="1" hidden="1">
      <c r="A484" s="106"/>
      <c r="B484" s="106"/>
      <c r="C484" s="106"/>
      <c r="D484" s="106"/>
      <c r="E484" s="106"/>
      <c r="F484" s="106"/>
      <c r="G484" s="106"/>
      <c r="H484" s="106"/>
      <c r="I484" s="106"/>
      <c r="J484" s="106"/>
      <c r="K484" s="106"/>
      <c r="L484" s="106"/>
      <c r="M484" s="106"/>
      <c r="N484" s="106"/>
      <c r="O484" s="106"/>
      <c r="P484" s="106"/>
      <c r="Q484" s="106"/>
      <c r="R484" s="106"/>
      <c r="S484" s="106"/>
      <c r="T484" s="106"/>
      <c r="U484" s="106"/>
      <c r="V484" s="106"/>
      <c r="W484" s="106"/>
      <c r="X484" s="106"/>
      <c r="Y484" s="106"/>
      <c r="Z484" s="106"/>
      <c r="AA484" s="106"/>
      <c r="AB484" s="106"/>
      <c r="AC484" s="106"/>
      <c r="AD484" s="106"/>
      <c r="AE484" s="106"/>
      <c r="AF484" s="106"/>
      <c r="AG484" s="106"/>
      <c r="AH484" s="106"/>
      <c r="AI484" s="106"/>
      <c r="AJ484" s="106"/>
      <c r="AM484" s="96"/>
      <c r="AN484" s="96"/>
      <c r="AO484" s="96"/>
      <c r="AP484" s="96"/>
      <c r="AQ484" s="96"/>
      <c r="AR484" s="96"/>
    </row>
    <row r="485" spans="1:44" s="6" customFormat="1" hidden="1">
      <c r="A485" s="106"/>
      <c r="B485" s="106"/>
      <c r="C485" s="106"/>
      <c r="D485" s="106"/>
      <c r="E485" s="106"/>
      <c r="F485" s="106"/>
      <c r="G485" s="106"/>
      <c r="H485" s="106"/>
      <c r="I485" s="106"/>
      <c r="J485" s="106"/>
      <c r="K485" s="106"/>
      <c r="L485" s="106"/>
      <c r="M485" s="106"/>
      <c r="N485" s="106"/>
      <c r="O485" s="106"/>
      <c r="P485" s="106"/>
      <c r="Q485" s="106"/>
      <c r="R485" s="106"/>
      <c r="S485" s="106"/>
      <c r="T485" s="106"/>
      <c r="U485" s="106"/>
      <c r="V485" s="106"/>
      <c r="W485" s="106"/>
      <c r="X485" s="106"/>
      <c r="Y485" s="106"/>
      <c r="Z485" s="106"/>
      <c r="AA485" s="106"/>
      <c r="AB485" s="106"/>
      <c r="AC485" s="106"/>
      <c r="AD485" s="106"/>
      <c r="AE485" s="106"/>
      <c r="AF485" s="106"/>
      <c r="AG485" s="106"/>
      <c r="AH485" s="106"/>
      <c r="AI485" s="106"/>
      <c r="AJ485" s="106"/>
      <c r="AM485" s="96"/>
      <c r="AN485" s="96"/>
      <c r="AO485" s="96"/>
      <c r="AP485" s="96"/>
      <c r="AQ485" s="96"/>
      <c r="AR485" s="96"/>
    </row>
    <row r="486" spans="1:44" s="6" customFormat="1" hidden="1">
      <c r="A486" s="106"/>
      <c r="B486" s="106"/>
      <c r="C486" s="106"/>
      <c r="D486" s="106"/>
      <c r="E486" s="106"/>
      <c r="F486" s="106"/>
      <c r="G486" s="106"/>
      <c r="H486" s="106"/>
      <c r="I486" s="106"/>
      <c r="J486" s="106"/>
      <c r="K486" s="106"/>
      <c r="L486" s="106"/>
      <c r="M486" s="106"/>
      <c r="N486" s="106"/>
      <c r="O486" s="106"/>
      <c r="P486" s="106"/>
      <c r="Q486" s="106"/>
      <c r="R486" s="106"/>
      <c r="S486" s="106"/>
      <c r="T486" s="106"/>
      <c r="U486" s="106"/>
      <c r="V486" s="106"/>
      <c r="W486" s="106"/>
      <c r="X486" s="106"/>
      <c r="Y486" s="106"/>
      <c r="Z486" s="106"/>
      <c r="AA486" s="106"/>
      <c r="AB486" s="106"/>
      <c r="AC486" s="106"/>
      <c r="AD486" s="106"/>
      <c r="AE486" s="106"/>
      <c r="AF486" s="106"/>
      <c r="AG486" s="106"/>
      <c r="AH486" s="106"/>
      <c r="AI486" s="106"/>
      <c r="AJ486" s="106"/>
      <c r="AM486" s="96"/>
      <c r="AN486" s="96"/>
      <c r="AO486" s="96"/>
      <c r="AP486" s="96"/>
      <c r="AQ486" s="96"/>
      <c r="AR486" s="96"/>
    </row>
    <row r="487" spans="1:44" s="6" customFormat="1" hidden="1">
      <c r="A487" s="106"/>
      <c r="B487" s="106"/>
      <c r="C487" s="106"/>
      <c r="D487" s="106"/>
      <c r="E487" s="106"/>
      <c r="F487" s="106"/>
      <c r="G487" s="106"/>
      <c r="H487" s="106"/>
      <c r="I487" s="106"/>
      <c r="J487" s="106"/>
      <c r="K487" s="106"/>
      <c r="L487" s="106"/>
      <c r="M487" s="106"/>
      <c r="N487" s="106"/>
      <c r="O487" s="106"/>
      <c r="P487" s="106"/>
      <c r="Q487" s="106"/>
      <c r="R487" s="106"/>
      <c r="S487" s="106"/>
      <c r="T487" s="106"/>
      <c r="U487" s="106"/>
      <c r="V487" s="106"/>
      <c r="W487" s="106"/>
      <c r="X487" s="106"/>
      <c r="Y487" s="106"/>
      <c r="Z487" s="106"/>
      <c r="AA487" s="106"/>
      <c r="AB487" s="106"/>
      <c r="AC487" s="106"/>
      <c r="AD487" s="106"/>
      <c r="AE487" s="106"/>
      <c r="AF487" s="106"/>
      <c r="AG487" s="106"/>
      <c r="AH487" s="106"/>
      <c r="AI487" s="106"/>
      <c r="AJ487" s="106"/>
      <c r="AM487" s="96"/>
      <c r="AN487" s="96"/>
      <c r="AO487" s="96"/>
      <c r="AP487" s="96"/>
      <c r="AQ487" s="96"/>
      <c r="AR487" s="96"/>
    </row>
    <row r="488" spans="1:44" s="6" customFormat="1" hidden="1">
      <c r="A488" s="106"/>
      <c r="B488" s="106"/>
      <c r="C488" s="106"/>
      <c r="D488" s="106"/>
      <c r="E488" s="106"/>
      <c r="F488" s="106"/>
      <c r="G488" s="106"/>
      <c r="H488" s="106"/>
      <c r="I488" s="106"/>
      <c r="J488" s="106"/>
      <c r="K488" s="106"/>
      <c r="L488" s="106"/>
      <c r="M488" s="106"/>
      <c r="N488" s="106"/>
      <c r="O488" s="106"/>
      <c r="P488" s="106"/>
      <c r="Q488" s="106"/>
      <c r="R488" s="106"/>
      <c r="S488" s="106"/>
      <c r="T488" s="106"/>
      <c r="U488" s="106"/>
      <c r="V488" s="106"/>
      <c r="W488" s="106"/>
      <c r="X488" s="106"/>
      <c r="Y488" s="106"/>
      <c r="Z488" s="106"/>
      <c r="AA488" s="106"/>
      <c r="AB488" s="106"/>
      <c r="AC488" s="106"/>
      <c r="AD488" s="106"/>
      <c r="AE488" s="106"/>
      <c r="AF488" s="106"/>
      <c r="AG488" s="106"/>
      <c r="AH488" s="106"/>
      <c r="AI488" s="106"/>
      <c r="AJ488" s="106"/>
      <c r="AM488" s="96"/>
      <c r="AN488" s="96"/>
      <c r="AO488" s="96"/>
      <c r="AP488" s="96"/>
      <c r="AQ488" s="96"/>
      <c r="AR488" s="96"/>
    </row>
    <row r="489" spans="1:44" s="6" customFormat="1" hidden="1">
      <c r="A489" s="106"/>
      <c r="B489" s="106"/>
      <c r="C489" s="106"/>
      <c r="D489" s="106"/>
      <c r="E489" s="106"/>
      <c r="F489" s="106"/>
      <c r="G489" s="106"/>
      <c r="H489" s="106"/>
      <c r="I489" s="106"/>
      <c r="J489" s="106"/>
      <c r="K489" s="106"/>
      <c r="L489" s="106"/>
      <c r="M489" s="106"/>
      <c r="N489" s="106"/>
      <c r="O489" s="106"/>
      <c r="P489" s="106"/>
      <c r="Q489" s="106"/>
      <c r="R489" s="106"/>
      <c r="S489" s="106"/>
      <c r="T489" s="106"/>
      <c r="U489" s="106"/>
      <c r="V489" s="106"/>
      <c r="W489" s="106"/>
      <c r="X489" s="106"/>
      <c r="Y489" s="106"/>
      <c r="Z489" s="106"/>
      <c r="AA489" s="106"/>
      <c r="AB489" s="106"/>
      <c r="AC489" s="106"/>
      <c r="AD489" s="106"/>
      <c r="AE489" s="106"/>
      <c r="AF489" s="106"/>
      <c r="AG489" s="106"/>
      <c r="AH489" s="106"/>
      <c r="AI489" s="106"/>
      <c r="AJ489" s="106"/>
      <c r="AM489" s="96"/>
      <c r="AN489" s="96"/>
      <c r="AO489" s="96"/>
      <c r="AP489" s="96"/>
      <c r="AQ489" s="96"/>
      <c r="AR489" s="96"/>
    </row>
    <row r="490" spans="1:44" s="6" customFormat="1" hidden="1">
      <c r="A490" s="106"/>
      <c r="B490" s="106"/>
      <c r="C490" s="106"/>
      <c r="D490" s="106"/>
      <c r="E490" s="106"/>
      <c r="F490" s="106"/>
      <c r="G490" s="106"/>
      <c r="H490" s="106"/>
      <c r="I490" s="106"/>
      <c r="J490" s="106"/>
      <c r="K490" s="106"/>
      <c r="L490" s="106"/>
      <c r="M490" s="106"/>
      <c r="N490" s="106"/>
      <c r="O490" s="106"/>
      <c r="P490" s="106"/>
      <c r="Q490" s="106"/>
      <c r="R490" s="106"/>
      <c r="S490" s="106"/>
      <c r="T490" s="106"/>
      <c r="U490" s="106"/>
      <c r="V490" s="106"/>
      <c r="W490" s="106"/>
      <c r="X490" s="106"/>
      <c r="Y490" s="106"/>
      <c r="Z490" s="106"/>
      <c r="AA490" s="106"/>
      <c r="AB490" s="106"/>
      <c r="AC490" s="106"/>
      <c r="AD490" s="106"/>
      <c r="AE490" s="106"/>
      <c r="AF490" s="106"/>
      <c r="AG490" s="106"/>
      <c r="AH490" s="106"/>
      <c r="AI490" s="106"/>
      <c r="AJ490" s="106"/>
      <c r="AM490" s="96"/>
      <c r="AN490" s="96"/>
      <c r="AO490" s="96"/>
      <c r="AP490" s="96"/>
      <c r="AQ490" s="96"/>
      <c r="AR490" s="96"/>
    </row>
    <row r="491" spans="1:44" s="6" customFormat="1" hidden="1">
      <c r="A491" s="106"/>
      <c r="B491" s="106"/>
      <c r="C491" s="106"/>
      <c r="D491" s="106"/>
      <c r="E491" s="106"/>
      <c r="F491" s="106"/>
      <c r="G491" s="106"/>
      <c r="H491" s="106"/>
      <c r="I491" s="106"/>
      <c r="J491" s="106"/>
      <c r="K491" s="106"/>
      <c r="L491" s="106"/>
      <c r="M491" s="106"/>
      <c r="N491" s="106"/>
      <c r="O491" s="106"/>
      <c r="P491" s="106"/>
      <c r="Q491" s="106"/>
      <c r="R491" s="106"/>
      <c r="S491" s="106"/>
      <c r="T491" s="106"/>
      <c r="U491" s="106"/>
      <c r="V491" s="106"/>
      <c r="W491" s="106"/>
      <c r="X491" s="106"/>
      <c r="Y491" s="106"/>
      <c r="Z491" s="106"/>
      <c r="AA491" s="106"/>
      <c r="AB491" s="106"/>
      <c r="AC491" s="106"/>
      <c r="AD491" s="106"/>
      <c r="AE491" s="106"/>
      <c r="AF491" s="106"/>
      <c r="AG491" s="106"/>
      <c r="AH491" s="106"/>
      <c r="AI491" s="106"/>
      <c r="AJ491" s="106"/>
      <c r="AM491" s="96"/>
      <c r="AN491" s="96"/>
      <c r="AO491" s="96"/>
      <c r="AP491" s="96"/>
      <c r="AQ491" s="96"/>
      <c r="AR491" s="96"/>
    </row>
    <row r="492" spans="1:44" s="6" customFormat="1" hidden="1">
      <c r="A492" s="106"/>
      <c r="B492" s="106"/>
      <c r="C492" s="106"/>
      <c r="D492" s="106"/>
      <c r="E492" s="106"/>
      <c r="F492" s="106"/>
      <c r="G492" s="106"/>
      <c r="H492" s="106"/>
      <c r="I492" s="106"/>
      <c r="J492" s="106"/>
      <c r="K492" s="106"/>
      <c r="L492" s="106"/>
      <c r="M492" s="106"/>
      <c r="N492" s="106"/>
      <c r="O492" s="106"/>
      <c r="P492" s="106"/>
      <c r="Q492" s="106"/>
      <c r="R492" s="106"/>
      <c r="S492" s="106"/>
      <c r="T492" s="106"/>
      <c r="U492" s="106"/>
      <c r="V492" s="106"/>
      <c r="W492" s="106"/>
      <c r="X492" s="106"/>
      <c r="Y492" s="106"/>
      <c r="Z492" s="106"/>
      <c r="AA492" s="106"/>
      <c r="AB492" s="106"/>
      <c r="AC492" s="106"/>
      <c r="AD492" s="106"/>
      <c r="AE492" s="106"/>
      <c r="AF492" s="106"/>
      <c r="AG492" s="106"/>
      <c r="AH492" s="106"/>
      <c r="AI492" s="106"/>
      <c r="AJ492" s="106"/>
      <c r="AM492" s="96"/>
      <c r="AN492" s="96"/>
      <c r="AO492" s="96"/>
      <c r="AP492" s="96"/>
      <c r="AQ492" s="96"/>
      <c r="AR492" s="96"/>
    </row>
    <row r="493" spans="1:44" s="6" customFormat="1" hidden="1">
      <c r="A493" s="106"/>
      <c r="B493" s="106"/>
      <c r="C493" s="106"/>
      <c r="D493" s="106"/>
      <c r="E493" s="106"/>
      <c r="F493" s="106"/>
      <c r="G493" s="106"/>
      <c r="H493" s="106"/>
      <c r="I493" s="106"/>
      <c r="J493" s="106"/>
      <c r="K493" s="106"/>
      <c r="L493" s="106"/>
      <c r="M493" s="106"/>
      <c r="N493" s="106"/>
      <c r="O493" s="106"/>
      <c r="P493" s="106"/>
      <c r="Q493" s="106"/>
      <c r="R493" s="106"/>
      <c r="S493" s="106"/>
      <c r="T493" s="106"/>
      <c r="U493" s="106"/>
      <c r="V493" s="106"/>
      <c r="W493" s="106"/>
      <c r="X493" s="106"/>
      <c r="Y493" s="106"/>
      <c r="Z493" s="106"/>
      <c r="AA493" s="106"/>
      <c r="AB493" s="106"/>
      <c r="AC493" s="106"/>
      <c r="AD493" s="106"/>
      <c r="AE493" s="106"/>
      <c r="AF493" s="106"/>
      <c r="AG493" s="106"/>
      <c r="AH493" s="106"/>
      <c r="AI493" s="106"/>
      <c r="AJ493" s="106"/>
      <c r="AM493" s="96"/>
      <c r="AN493" s="96"/>
      <c r="AO493" s="96"/>
      <c r="AP493" s="96"/>
      <c r="AQ493" s="96"/>
      <c r="AR493" s="96"/>
    </row>
    <row r="494" spans="1:44" s="6" customFormat="1" hidden="1">
      <c r="A494" s="106"/>
      <c r="B494" s="106"/>
      <c r="C494" s="106"/>
      <c r="D494" s="106"/>
      <c r="E494" s="106"/>
      <c r="F494" s="106"/>
      <c r="G494" s="106"/>
      <c r="H494" s="106"/>
      <c r="I494" s="106"/>
      <c r="J494" s="106"/>
      <c r="K494" s="106"/>
      <c r="L494" s="106"/>
      <c r="M494" s="106"/>
      <c r="N494" s="106"/>
      <c r="O494" s="106"/>
      <c r="P494" s="106"/>
      <c r="Q494" s="106"/>
      <c r="R494" s="106"/>
      <c r="S494" s="106"/>
      <c r="T494" s="106"/>
      <c r="U494" s="106"/>
      <c r="V494" s="106"/>
      <c r="W494" s="106"/>
      <c r="X494" s="106"/>
      <c r="Y494" s="106"/>
      <c r="Z494" s="106"/>
      <c r="AA494" s="106"/>
      <c r="AB494" s="106"/>
      <c r="AC494" s="106"/>
      <c r="AD494" s="106"/>
      <c r="AE494" s="106"/>
      <c r="AF494" s="106"/>
      <c r="AG494" s="106"/>
      <c r="AH494" s="106"/>
      <c r="AI494" s="106"/>
      <c r="AJ494" s="106"/>
      <c r="AM494" s="96"/>
      <c r="AN494" s="96"/>
      <c r="AO494" s="96"/>
      <c r="AP494" s="96"/>
      <c r="AQ494" s="96"/>
      <c r="AR494" s="96"/>
    </row>
    <row r="495" spans="1:44" s="6" customFormat="1" hidden="1">
      <c r="A495" s="106"/>
      <c r="B495" s="106"/>
      <c r="C495" s="106"/>
      <c r="D495" s="106"/>
      <c r="E495" s="106"/>
      <c r="F495" s="106"/>
      <c r="G495" s="106"/>
      <c r="H495" s="106"/>
      <c r="I495" s="106"/>
      <c r="J495" s="106"/>
      <c r="K495" s="106"/>
      <c r="L495" s="106"/>
      <c r="M495" s="106"/>
      <c r="N495" s="106"/>
      <c r="O495" s="106"/>
      <c r="P495" s="106"/>
      <c r="Q495" s="106"/>
      <c r="R495" s="106"/>
      <c r="S495" s="106"/>
      <c r="T495" s="106"/>
      <c r="U495" s="106"/>
      <c r="V495" s="106"/>
      <c r="W495" s="106"/>
      <c r="X495" s="106"/>
      <c r="Y495" s="106"/>
      <c r="Z495" s="106"/>
      <c r="AA495" s="106"/>
      <c r="AB495" s="106"/>
      <c r="AC495" s="106"/>
      <c r="AD495" s="106"/>
      <c r="AE495" s="106"/>
      <c r="AF495" s="106"/>
      <c r="AG495" s="106"/>
      <c r="AH495" s="106"/>
      <c r="AI495" s="106"/>
      <c r="AJ495" s="106"/>
      <c r="AM495" s="96"/>
      <c r="AN495" s="96"/>
      <c r="AO495" s="96"/>
      <c r="AP495" s="96"/>
      <c r="AQ495" s="96"/>
      <c r="AR495" s="96"/>
    </row>
    <row r="496" spans="1:44" s="6" customFormat="1" hidden="1">
      <c r="A496" s="106"/>
      <c r="B496" s="106"/>
      <c r="C496" s="106"/>
      <c r="D496" s="106"/>
      <c r="E496" s="106"/>
      <c r="F496" s="106"/>
      <c r="G496" s="106"/>
      <c r="H496" s="106"/>
      <c r="I496" s="106"/>
      <c r="J496" s="106"/>
      <c r="K496" s="106"/>
      <c r="L496" s="106"/>
      <c r="M496" s="106"/>
      <c r="N496" s="106"/>
      <c r="O496" s="106"/>
      <c r="P496" s="106"/>
      <c r="Q496" s="106"/>
      <c r="R496" s="106"/>
      <c r="S496" s="106"/>
      <c r="T496" s="106"/>
      <c r="U496" s="106"/>
      <c r="V496" s="106"/>
      <c r="W496" s="106"/>
      <c r="X496" s="106"/>
      <c r="Y496" s="106"/>
      <c r="Z496" s="106"/>
      <c r="AA496" s="106"/>
      <c r="AB496" s="106"/>
      <c r="AC496" s="106"/>
      <c r="AD496" s="106"/>
      <c r="AE496" s="106"/>
      <c r="AF496" s="106"/>
      <c r="AG496" s="106"/>
      <c r="AH496" s="106"/>
      <c r="AI496" s="106"/>
      <c r="AJ496" s="106"/>
      <c r="AM496" s="96"/>
      <c r="AN496" s="96"/>
      <c r="AO496" s="96"/>
      <c r="AP496" s="96"/>
      <c r="AQ496" s="96"/>
      <c r="AR496" s="96"/>
    </row>
    <row r="497" spans="1:44" s="6" customFormat="1" hidden="1">
      <c r="A497" s="106"/>
      <c r="B497" s="106"/>
      <c r="C497" s="106"/>
      <c r="D497" s="106"/>
      <c r="E497" s="106"/>
      <c r="F497" s="106"/>
      <c r="G497" s="106"/>
      <c r="H497" s="106"/>
      <c r="I497" s="106"/>
      <c r="J497" s="106"/>
      <c r="K497" s="106"/>
      <c r="L497" s="106"/>
      <c r="M497" s="106"/>
      <c r="N497" s="106"/>
      <c r="O497" s="106"/>
      <c r="P497" s="106"/>
      <c r="Q497" s="106"/>
      <c r="R497" s="106"/>
      <c r="S497" s="106"/>
      <c r="T497" s="106"/>
      <c r="U497" s="106"/>
      <c r="V497" s="106"/>
      <c r="W497" s="106"/>
      <c r="X497" s="106"/>
      <c r="Y497" s="106"/>
      <c r="Z497" s="106"/>
      <c r="AA497" s="106"/>
      <c r="AB497" s="106"/>
      <c r="AC497" s="106"/>
      <c r="AD497" s="106"/>
      <c r="AE497" s="106"/>
      <c r="AF497" s="106"/>
      <c r="AG497" s="106"/>
      <c r="AH497" s="106"/>
      <c r="AI497" s="106"/>
      <c r="AJ497" s="106"/>
      <c r="AM497" s="96"/>
      <c r="AN497" s="96"/>
      <c r="AO497" s="96"/>
      <c r="AP497" s="96"/>
      <c r="AQ497" s="96"/>
      <c r="AR497" s="96"/>
    </row>
    <row r="498" spans="1:44" s="6" customFormat="1" hidden="1">
      <c r="A498" s="106"/>
      <c r="B498" s="106"/>
      <c r="C498" s="106"/>
      <c r="D498" s="106"/>
      <c r="E498" s="106"/>
      <c r="F498" s="106"/>
      <c r="G498" s="106"/>
      <c r="H498" s="106"/>
      <c r="I498" s="106"/>
      <c r="J498" s="106"/>
      <c r="K498" s="106"/>
      <c r="L498" s="106"/>
      <c r="M498" s="106"/>
      <c r="N498" s="106"/>
      <c r="O498" s="106"/>
      <c r="P498" s="106"/>
      <c r="Q498" s="106"/>
      <c r="R498" s="106"/>
      <c r="S498" s="106"/>
      <c r="T498" s="106"/>
      <c r="U498" s="106"/>
      <c r="V498" s="106"/>
      <c r="W498" s="106"/>
      <c r="X498" s="106"/>
      <c r="Y498" s="106"/>
      <c r="Z498" s="106"/>
      <c r="AA498" s="106"/>
      <c r="AB498" s="106"/>
      <c r="AC498" s="106"/>
      <c r="AD498" s="106"/>
      <c r="AE498" s="106"/>
      <c r="AF498" s="106"/>
      <c r="AG498" s="106"/>
      <c r="AH498" s="106"/>
      <c r="AI498" s="106"/>
      <c r="AJ498" s="106"/>
      <c r="AM498" s="96"/>
      <c r="AN498" s="96"/>
      <c r="AO498" s="96"/>
      <c r="AP498" s="96"/>
      <c r="AQ498" s="96"/>
      <c r="AR498" s="96"/>
    </row>
    <row r="499" spans="1:44" s="6" customFormat="1" hidden="1">
      <c r="A499" s="106"/>
      <c r="B499" s="106"/>
      <c r="C499" s="106"/>
      <c r="D499" s="106"/>
      <c r="E499" s="106"/>
      <c r="F499" s="106"/>
      <c r="G499" s="106"/>
      <c r="H499" s="106"/>
      <c r="I499" s="106"/>
      <c r="J499" s="106"/>
      <c r="K499" s="106"/>
      <c r="L499" s="106"/>
      <c r="M499" s="106"/>
      <c r="N499" s="106"/>
      <c r="O499" s="106"/>
      <c r="P499" s="106"/>
      <c r="Q499" s="106"/>
      <c r="R499" s="106"/>
      <c r="S499" s="106"/>
      <c r="T499" s="106"/>
      <c r="U499" s="106"/>
      <c r="V499" s="106"/>
      <c r="W499" s="106"/>
      <c r="X499" s="106"/>
      <c r="Y499" s="106"/>
      <c r="Z499" s="106"/>
      <c r="AA499" s="106"/>
      <c r="AB499" s="106"/>
      <c r="AC499" s="106"/>
      <c r="AD499" s="106"/>
      <c r="AE499" s="106"/>
      <c r="AF499" s="106"/>
      <c r="AG499" s="106"/>
      <c r="AH499" s="106"/>
      <c r="AI499" s="106"/>
      <c r="AJ499" s="106"/>
      <c r="AM499" s="96"/>
      <c r="AN499" s="96"/>
      <c r="AO499" s="96"/>
      <c r="AP499" s="96"/>
      <c r="AQ499" s="96"/>
      <c r="AR499" s="96"/>
    </row>
    <row r="500" spans="1:44" s="6" customFormat="1" hidden="1">
      <c r="A500" s="106"/>
      <c r="B500" s="106"/>
      <c r="C500" s="106"/>
      <c r="D500" s="106"/>
      <c r="E500" s="106"/>
      <c r="F500" s="106"/>
      <c r="G500" s="106"/>
      <c r="H500" s="106"/>
      <c r="I500" s="106"/>
      <c r="J500" s="106"/>
      <c r="K500" s="106"/>
      <c r="L500" s="106"/>
      <c r="M500" s="106"/>
      <c r="N500" s="106"/>
      <c r="O500" s="106"/>
      <c r="P500" s="106"/>
      <c r="Q500" s="106"/>
      <c r="R500" s="106"/>
      <c r="S500" s="106"/>
      <c r="T500" s="106"/>
      <c r="U500" s="106"/>
      <c r="V500" s="106"/>
      <c r="W500" s="106"/>
      <c r="X500" s="106"/>
      <c r="Y500" s="106"/>
      <c r="Z500" s="106"/>
      <c r="AA500" s="106"/>
      <c r="AB500" s="106"/>
      <c r="AC500" s="106"/>
      <c r="AD500" s="106"/>
      <c r="AE500" s="106"/>
      <c r="AF500" s="106"/>
      <c r="AG500" s="106"/>
      <c r="AH500" s="106"/>
      <c r="AI500" s="106"/>
      <c r="AJ500" s="106"/>
      <c r="AM500" s="96"/>
      <c r="AN500" s="96"/>
      <c r="AO500" s="96"/>
      <c r="AP500" s="96"/>
      <c r="AQ500" s="96"/>
      <c r="AR500" s="96"/>
    </row>
    <row r="501" spans="1:44" s="6" customFormat="1" hidden="1">
      <c r="A501" s="106"/>
      <c r="B501" s="106"/>
      <c r="C501" s="106"/>
      <c r="D501" s="106"/>
      <c r="E501" s="106"/>
      <c r="F501" s="106"/>
      <c r="G501" s="106"/>
      <c r="H501" s="106"/>
      <c r="I501" s="106"/>
      <c r="J501" s="106"/>
      <c r="K501" s="106"/>
      <c r="L501" s="106"/>
      <c r="M501" s="106"/>
      <c r="N501" s="106"/>
      <c r="O501" s="106"/>
      <c r="P501" s="106"/>
      <c r="Q501" s="106"/>
      <c r="R501" s="106"/>
      <c r="S501" s="106"/>
      <c r="T501" s="106"/>
      <c r="U501" s="106"/>
      <c r="V501" s="106"/>
      <c r="W501" s="106"/>
      <c r="X501" s="106"/>
      <c r="Y501" s="106"/>
      <c r="Z501" s="106"/>
      <c r="AA501" s="106"/>
      <c r="AB501" s="106"/>
      <c r="AC501" s="106"/>
      <c r="AD501" s="106"/>
      <c r="AE501" s="106"/>
      <c r="AF501" s="106"/>
      <c r="AG501" s="106"/>
      <c r="AH501" s="106"/>
      <c r="AI501" s="106"/>
      <c r="AJ501" s="106"/>
      <c r="AM501" s="96"/>
      <c r="AN501" s="96"/>
      <c r="AO501" s="96"/>
      <c r="AP501" s="96"/>
      <c r="AQ501" s="96"/>
      <c r="AR501" s="96"/>
    </row>
    <row r="502" spans="1:44" s="6" customFormat="1" hidden="1">
      <c r="A502" s="106"/>
      <c r="B502" s="106"/>
      <c r="C502" s="106"/>
      <c r="D502" s="106"/>
      <c r="E502" s="106"/>
      <c r="F502" s="106"/>
      <c r="G502" s="106"/>
      <c r="H502" s="106"/>
      <c r="I502" s="106"/>
      <c r="J502" s="106"/>
      <c r="K502" s="106"/>
      <c r="L502" s="106"/>
      <c r="M502" s="106"/>
      <c r="N502" s="106"/>
      <c r="O502" s="106"/>
      <c r="P502" s="106"/>
      <c r="Q502" s="106"/>
      <c r="R502" s="106"/>
      <c r="S502" s="106"/>
      <c r="T502" s="106"/>
      <c r="U502" s="106"/>
      <c r="V502" s="106"/>
      <c r="W502" s="106"/>
      <c r="X502" s="106"/>
      <c r="Y502" s="106"/>
      <c r="Z502" s="106"/>
      <c r="AA502" s="106"/>
      <c r="AB502" s="106"/>
      <c r="AC502" s="106"/>
      <c r="AD502" s="106"/>
      <c r="AE502" s="106"/>
      <c r="AF502" s="106"/>
      <c r="AG502" s="106"/>
      <c r="AH502" s="106"/>
      <c r="AI502" s="106"/>
      <c r="AJ502" s="106"/>
      <c r="AM502" s="96"/>
      <c r="AN502" s="96"/>
      <c r="AO502" s="96"/>
      <c r="AP502" s="96"/>
      <c r="AQ502" s="96"/>
      <c r="AR502" s="96"/>
    </row>
    <row r="503" spans="1:44" s="6" customFormat="1" hidden="1">
      <c r="A503" s="106"/>
      <c r="B503" s="106"/>
      <c r="C503" s="106"/>
      <c r="D503" s="106"/>
      <c r="E503" s="106"/>
      <c r="F503" s="106"/>
      <c r="G503" s="106"/>
      <c r="H503" s="106"/>
      <c r="I503" s="106"/>
      <c r="J503" s="106"/>
      <c r="K503" s="106"/>
      <c r="L503" s="106"/>
      <c r="M503" s="106"/>
      <c r="N503" s="106"/>
      <c r="O503" s="106"/>
      <c r="P503" s="106"/>
      <c r="Q503" s="106"/>
      <c r="R503" s="106"/>
      <c r="S503" s="106"/>
      <c r="T503" s="106"/>
      <c r="U503" s="106"/>
      <c r="V503" s="106"/>
      <c r="W503" s="106"/>
      <c r="X503" s="106"/>
      <c r="Y503" s="106"/>
      <c r="Z503" s="106"/>
      <c r="AA503" s="106"/>
      <c r="AB503" s="106"/>
      <c r="AC503" s="106"/>
      <c r="AD503" s="106"/>
      <c r="AE503" s="106"/>
      <c r="AF503" s="106"/>
      <c r="AG503" s="106"/>
      <c r="AH503" s="106"/>
      <c r="AI503" s="106"/>
      <c r="AJ503" s="106"/>
      <c r="AM503" s="96"/>
      <c r="AN503" s="96"/>
      <c r="AO503" s="96"/>
      <c r="AP503" s="96"/>
      <c r="AQ503" s="96"/>
      <c r="AR503" s="96"/>
    </row>
    <row r="504" spans="1:44" s="6" customFormat="1" hidden="1">
      <c r="A504" s="106"/>
      <c r="B504" s="106"/>
      <c r="C504" s="106"/>
      <c r="D504" s="106"/>
      <c r="E504" s="106"/>
      <c r="F504" s="106"/>
      <c r="G504" s="106"/>
      <c r="H504" s="106"/>
      <c r="I504" s="106"/>
      <c r="J504" s="106"/>
      <c r="K504" s="106"/>
      <c r="L504" s="106"/>
      <c r="M504" s="106"/>
      <c r="N504" s="106"/>
      <c r="O504" s="106"/>
      <c r="P504" s="106"/>
      <c r="Q504" s="106"/>
      <c r="R504" s="106"/>
      <c r="S504" s="106"/>
      <c r="T504" s="106"/>
      <c r="U504" s="106"/>
      <c r="V504" s="106"/>
      <c r="W504" s="106"/>
      <c r="X504" s="106"/>
      <c r="Y504" s="106"/>
      <c r="Z504" s="106"/>
      <c r="AA504" s="106"/>
      <c r="AB504" s="106"/>
      <c r="AC504" s="106"/>
      <c r="AD504" s="106"/>
      <c r="AE504" s="106"/>
      <c r="AF504" s="106"/>
      <c r="AG504" s="106"/>
      <c r="AH504" s="106"/>
      <c r="AI504" s="106"/>
      <c r="AJ504" s="106"/>
      <c r="AM504" s="96"/>
      <c r="AN504" s="96"/>
      <c r="AO504" s="96"/>
      <c r="AP504" s="96"/>
      <c r="AQ504" s="96"/>
      <c r="AR504" s="96"/>
    </row>
    <row r="505" spans="1:44" s="6" customFormat="1" hidden="1">
      <c r="A505" s="106"/>
      <c r="B505" s="106"/>
      <c r="C505" s="106"/>
      <c r="D505" s="106"/>
      <c r="E505" s="106"/>
      <c r="F505" s="106"/>
      <c r="G505" s="106"/>
      <c r="H505" s="106"/>
      <c r="I505" s="106"/>
      <c r="J505" s="106"/>
      <c r="K505" s="106"/>
      <c r="L505" s="106"/>
      <c r="M505" s="106"/>
      <c r="N505" s="106"/>
      <c r="O505" s="106"/>
      <c r="P505" s="106"/>
      <c r="Q505" s="106"/>
      <c r="R505" s="106"/>
      <c r="S505" s="106"/>
      <c r="T505" s="106"/>
      <c r="U505" s="106"/>
      <c r="V505" s="106"/>
      <c r="W505" s="106"/>
      <c r="X505" s="106"/>
      <c r="Y505" s="106"/>
      <c r="Z505" s="106"/>
      <c r="AA505" s="106"/>
      <c r="AB505" s="106"/>
      <c r="AC505" s="106"/>
      <c r="AD505" s="106"/>
      <c r="AE505" s="106"/>
      <c r="AF505" s="106"/>
      <c r="AG505" s="106"/>
      <c r="AH505" s="106"/>
      <c r="AI505" s="106"/>
      <c r="AJ505" s="106"/>
      <c r="AM505" s="96"/>
      <c r="AN505" s="96"/>
      <c r="AO505" s="96"/>
      <c r="AP505" s="96"/>
      <c r="AQ505" s="96"/>
      <c r="AR505" s="96"/>
    </row>
    <row r="506" spans="1:44" s="6" customFormat="1" hidden="1">
      <c r="A506" s="106"/>
      <c r="B506" s="106"/>
      <c r="C506" s="106"/>
      <c r="D506" s="106"/>
      <c r="E506" s="106"/>
      <c r="F506" s="106"/>
      <c r="G506" s="106"/>
      <c r="H506" s="106"/>
      <c r="I506" s="106"/>
      <c r="J506" s="106"/>
      <c r="K506" s="106"/>
      <c r="L506" s="106"/>
      <c r="M506" s="106"/>
      <c r="N506" s="106"/>
      <c r="O506" s="106"/>
      <c r="P506" s="106"/>
      <c r="Q506" s="106"/>
      <c r="R506" s="106"/>
      <c r="S506" s="106"/>
      <c r="T506" s="106"/>
      <c r="U506" s="106"/>
      <c r="V506" s="106"/>
      <c r="W506" s="106"/>
      <c r="X506" s="106"/>
      <c r="Y506" s="106"/>
      <c r="Z506" s="106"/>
      <c r="AA506" s="106"/>
      <c r="AB506" s="106"/>
      <c r="AC506" s="106"/>
      <c r="AD506" s="106"/>
      <c r="AE506" s="106"/>
      <c r="AF506" s="106"/>
      <c r="AG506" s="106"/>
      <c r="AH506" s="106"/>
      <c r="AI506" s="106"/>
      <c r="AJ506" s="106"/>
      <c r="AM506" s="96"/>
      <c r="AN506" s="96"/>
      <c r="AO506" s="96"/>
      <c r="AP506" s="96"/>
      <c r="AQ506" s="96"/>
      <c r="AR506" s="96"/>
    </row>
    <row r="507" spans="1:44" s="6" customFormat="1" hidden="1">
      <c r="A507" s="106"/>
      <c r="B507" s="106"/>
      <c r="C507" s="106"/>
      <c r="D507" s="106"/>
      <c r="E507" s="106"/>
      <c r="F507" s="106"/>
      <c r="G507" s="106"/>
      <c r="H507" s="106"/>
      <c r="I507" s="106"/>
      <c r="J507" s="106"/>
      <c r="K507" s="106"/>
      <c r="L507" s="106"/>
      <c r="M507" s="106"/>
      <c r="N507" s="106"/>
      <c r="O507" s="106"/>
      <c r="P507" s="106"/>
      <c r="Q507" s="106"/>
      <c r="R507" s="106"/>
      <c r="S507" s="106"/>
      <c r="T507" s="106"/>
      <c r="U507" s="106"/>
      <c r="V507" s="106"/>
      <c r="W507" s="106"/>
      <c r="X507" s="106"/>
      <c r="Y507" s="106"/>
      <c r="Z507" s="106"/>
      <c r="AA507" s="106"/>
      <c r="AB507" s="106"/>
      <c r="AC507" s="106"/>
      <c r="AD507" s="106"/>
      <c r="AE507" s="106"/>
      <c r="AF507" s="106"/>
      <c r="AG507" s="106"/>
      <c r="AH507" s="106"/>
      <c r="AI507" s="106"/>
      <c r="AJ507" s="106"/>
      <c r="AM507" s="96"/>
      <c r="AN507" s="96"/>
      <c r="AO507" s="96"/>
      <c r="AP507" s="96"/>
      <c r="AQ507" s="96"/>
      <c r="AR507" s="96"/>
    </row>
    <row r="508" spans="1:44" s="6" customFormat="1" hidden="1">
      <c r="A508" s="106"/>
      <c r="B508" s="106"/>
      <c r="C508" s="106"/>
      <c r="D508" s="106"/>
      <c r="E508" s="106"/>
      <c r="F508" s="106"/>
      <c r="G508" s="106"/>
      <c r="H508" s="106"/>
      <c r="I508" s="106"/>
      <c r="J508" s="106"/>
      <c r="K508" s="106"/>
      <c r="L508" s="106"/>
      <c r="M508" s="106"/>
      <c r="N508" s="106"/>
      <c r="O508" s="106"/>
      <c r="P508" s="106"/>
      <c r="Q508" s="106"/>
      <c r="R508" s="106"/>
      <c r="S508" s="106"/>
      <c r="T508" s="106"/>
      <c r="U508" s="106"/>
      <c r="V508" s="106"/>
      <c r="W508" s="106"/>
      <c r="X508" s="106"/>
      <c r="Y508" s="106"/>
      <c r="Z508" s="106"/>
      <c r="AA508" s="106"/>
      <c r="AB508" s="106"/>
      <c r="AC508" s="106"/>
      <c r="AD508" s="106"/>
      <c r="AE508" s="106"/>
      <c r="AF508" s="106"/>
      <c r="AG508" s="106"/>
      <c r="AH508" s="106"/>
      <c r="AI508" s="106"/>
      <c r="AJ508" s="106"/>
      <c r="AM508" s="96"/>
      <c r="AN508" s="96"/>
      <c r="AO508" s="96"/>
      <c r="AP508" s="96"/>
      <c r="AQ508" s="96"/>
      <c r="AR508" s="96"/>
    </row>
    <row r="509" spans="1:44" s="6" customFormat="1" hidden="1">
      <c r="A509" s="106"/>
      <c r="B509" s="106"/>
      <c r="C509" s="106"/>
      <c r="D509" s="106"/>
      <c r="E509" s="106"/>
      <c r="F509" s="106"/>
      <c r="G509" s="106"/>
      <c r="H509" s="106"/>
      <c r="I509" s="106"/>
      <c r="J509" s="106"/>
      <c r="K509" s="106"/>
      <c r="L509" s="106"/>
      <c r="M509" s="106"/>
      <c r="N509" s="106"/>
      <c r="O509" s="106"/>
      <c r="P509" s="106"/>
      <c r="Q509" s="106"/>
      <c r="R509" s="106"/>
      <c r="S509" s="106"/>
      <c r="T509" s="106"/>
      <c r="U509" s="106"/>
      <c r="V509" s="106"/>
      <c r="W509" s="106"/>
      <c r="X509" s="106"/>
      <c r="Y509" s="106"/>
      <c r="Z509" s="106"/>
      <c r="AA509" s="106"/>
      <c r="AB509" s="106"/>
      <c r="AC509" s="106"/>
      <c r="AD509" s="106"/>
      <c r="AE509" s="106"/>
      <c r="AF509" s="106"/>
      <c r="AG509" s="106"/>
      <c r="AH509" s="106"/>
      <c r="AI509" s="106"/>
      <c r="AJ509" s="106"/>
      <c r="AM509" s="96"/>
      <c r="AN509" s="96"/>
      <c r="AO509" s="96"/>
      <c r="AP509" s="96"/>
      <c r="AQ509" s="96"/>
      <c r="AR509" s="96"/>
    </row>
    <row r="510" spans="1:44" s="6" customFormat="1" hidden="1">
      <c r="A510" s="106"/>
      <c r="B510" s="106"/>
      <c r="C510" s="106"/>
      <c r="D510" s="106"/>
      <c r="E510" s="106"/>
      <c r="F510" s="106"/>
      <c r="G510" s="106"/>
      <c r="H510" s="106"/>
      <c r="I510" s="106"/>
      <c r="J510" s="106"/>
      <c r="K510" s="106"/>
      <c r="L510" s="106"/>
      <c r="M510" s="106"/>
      <c r="N510" s="106"/>
      <c r="O510" s="106"/>
      <c r="P510" s="106"/>
      <c r="Q510" s="106"/>
      <c r="R510" s="106"/>
      <c r="S510" s="106"/>
      <c r="T510" s="106"/>
      <c r="U510" s="106"/>
      <c r="V510" s="106"/>
      <c r="W510" s="106"/>
      <c r="X510" s="106"/>
      <c r="Y510" s="106"/>
      <c r="Z510" s="106"/>
      <c r="AA510" s="106"/>
      <c r="AB510" s="106"/>
      <c r="AC510" s="106"/>
      <c r="AD510" s="106"/>
      <c r="AE510" s="106"/>
      <c r="AF510" s="106"/>
      <c r="AG510" s="106"/>
      <c r="AH510" s="106"/>
      <c r="AI510" s="106"/>
      <c r="AJ510" s="106"/>
      <c r="AM510" s="96"/>
      <c r="AN510" s="96"/>
      <c r="AO510" s="96"/>
      <c r="AP510" s="96"/>
      <c r="AQ510" s="96"/>
      <c r="AR510" s="96"/>
    </row>
    <row r="511" spans="1:44" s="6" customFormat="1" hidden="1">
      <c r="A511" s="106"/>
      <c r="B511" s="106"/>
      <c r="C511" s="106"/>
      <c r="D511" s="106"/>
      <c r="E511" s="106"/>
      <c r="F511" s="106"/>
      <c r="G511" s="106"/>
      <c r="H511" s="106"/>
      <c r="I511" s="106"/>
      <c r="J511" s="106"/>
      <c r="K511" s="106"/>
      <c r="L511" s="106"/>
      <c r="M511" s="106"/>
      <c r="N511" s="106"/>
      <c r="O511" s="106"/>
      <c r="P511" s="106"/>
      <c r="Q511" s="106"/>
      <c r="R511" s="106"/>
      <c r="S511" s="106"/>
      <c r="T511" s="106"/>
      <c r="U511" s="106"/>
      <c r="V511" s="106"/>
      <c r="W511" s="106"/>
      <c r="X511" s="106"/>
      <c r="Y511" s="106"/>
      <c r="Z511" s="106"/>
      <c r="AA511" s="106"/>
      <c r="AB511" s="106"/>
      <c r="AC511" s="106"/>
      <c r="AD511" s="106"/>
      <c r="AE511" s="106"/>
      <c r="AF511" s="106"/>
      <c r="AG511" s="106"/>
      <c r="AH511" s="106"/>
      <c r="AI511" s="106"/>
      <c r="AJ511" s="106"/>
      <c r="AM511" s="96"/>
      <c r="AN511" s="96"/>
      <c r="AO511" s="96"/>
      <c r="AP511" s="96"/>
      <c r="AQ511" s="96"/>
      <c r="AR511" s="96"/>
    </row>
    <row r="512" spans="1:44" s="6" customFormat="1" hidden="1">
      <c r="A512" s="106"/>
      <c r="B512" s="106"/>
      <c r="C512" s="106"/>
      <c r="D512" s="106"/>
      <c r="E512" s="106"/>
      <c r="F512" s="106"/>
      <c r="G512" s="106"/>
      <c r="H512" s="106"/>
      <c r="I512" s="106"/>
      <c r="J512" s="106"/>
      <c r="K512" s="106"/>
      <c r="L512" s="106"/>
      <c r="M512" s="106"/>
      <c r="N512" s="106"/>
      <c r="O512" s="106"/>
      <c r="P512" s="106"/>
      <c r="Q512" s="106"/>
      <c r="R512" s="106"/>
      <c r="S512" s="106"/>
      <c r="T512" s="106"/>
      <c r="U512" s="106"/>
      <c r="V512" s="106"/>
      <c r="W512" s="106"/>
      <c r="X512" s="106"/>
      <c r="Y512" s="106"/>
      <c r="Z512" s="106"/>
      <c r="AA512" s="106"/>
      <c r="AB512" s="106"/>
      <c r="AC512" s="106"/>
      <c r="AD512" s="106"/>
      <c r="AE512" s="106"/>
      <c r="AF512" s="106"/>
      <c r="AG512" s="106"/>
      <c r="AH512" s="106"/>
      <c r="AI512" s="106"/>
      <c r="AJ512" s="106"/>
      <c r="AM512" s="96"/>
      <c r="AN512" s="96"/>
      <c r="AO512" s="96"/>
      <c r="AP512" s="96"/>
      <c r="AQ512" s="96"/>
      <c r="AR512" s="96"/>
    </row>
    <row r="513" spans="1:44" s="6" customFormat="1" hidden="1">
      <c r="A513" s="106"/>
      <c r="B513" s="106"/>
      <c r="C513" s="106"/>
      <c r="D513" s="106"/>
      <c r="E513" s="106"/>
      <c r="F513" s="106"/>
      <c r="G513" s="106"/>
      <c r="H513" s="106"/>
      <c r="I513" s="106"/>
      <c r="J513" s="106"/>
      <c r="K513" s="106"/>
      <c r="L513" s="106"/>
      <c r="M513" s="106"/>
      <c r="N513" s="106"/>
      <c r="O513" s="106"/>
      <c r="P513" s="106"/>
      <c r="Q513" s="106"/>
      <c r="R513" s="106"/>
      <c r="S513" s="106"/>
      <c r="T513" s="106"/>
      <c r="U513" s="106"/>
      <c r="V513" s="106"/>
      <c r="W513" s="106"/>
      <c r="X513" s="106"/>
      <c r="Y513" s="106"/>
      <c r="Z513" s="106"/>
      <c r="AA513" s="106"/>
      <c r="AB513" s="106"/>
      <c r="AC513" s="106"/>
      <c r="AD513" s="106"/>
      <c r="AE513" s="106"/>
      <c r="AF513" s="106"/>
      <c r="AG513" s="106"/>
      <c r="AH513" s="106"/>
      <c r="AI513" s="106"/>
      <c r="AJ513" s="106"/>
      <c r="AM513" s="96"/>
      <c r="AN513" s="96"/>
      <c r="AO513" s="96"/>
      <c r="AP513" s="96"/>
      <c r="AQ513" s="96"/>
      <c r="AR513" s="96"/>
    </row>
    <row r="514" spans="1:44" s="6" customFormat="1" hidden="1">
      <c r="A514" s="106"/>
      <c r="B514" s="106"/>
      <c r="C514" s="106"/>
      <c r="D514" s="106"/>
      <c r="E514" s="106"/>
      <c r="F514" s="106"/>
      <c r="G514" s="106"/>
      <c r="H514" s="106"/>
      <c r="I514" s="106"/>
      <c r="J514" s="106"/>
      <c r="K514" s="106"/>
      <c r="L514" s="106"/>
      <c r="M514" s="106"/>
      <c r="N514" s="106"/>
      <c r="O514" s="106"/>
      <c r="P514" s="106"/>
      <c r="Q514" s="106"/>
      <c r="R514" s="106"/>
      <c r="S514" s="106"/>
      <c r="T514" s="106"/>
      <c r="U514" s="106"/>
      <c r="V514" s="106"/>
      <c r="W514" s="106"/>
      <c r="X514" s="106"/>
      <c r="Y514" s="106"/>
      <c r="Z514" s="106"/>
      <c r="AA514" s="106"/>
      <c r="AB514" s="106"/>
      <c r="AC514" s="106"/>
      <c r="AD514" s="106"/>
      <c r="AE514" s="106"/>
      <c r="AF514" s="106"/>
      <c r="AG514" s="106"/>
      <c r="AH514" s="106"/>
      <c r="AI514" s="106"/>
      <c r="AJ514" s="106"/>
      <c r="AM514" s="96"/>
      <c r="AN514" s="96"/>
      <c r="AO514" s="96"/>
      <c r="AP514" s="96"/>
      <c r="AQ514" s="96"/>
      <c r="AR514" s="96"/>
    </row>
    <row r="515" spans="1:44" s="6" customFormat="1" hidden="1">
      <c r="A515" s="106"/>
      <c r="B515" s="106"/>
      <c r="C515" s="106"/>
      <c r="D515" s="106"/>
      <c r="E515" s="106"/>
      <c r="F515" s="106"/>
      <c r="G515" s="106"/>
      <c r="H515" s="106"/>
      <c r="I515" s="106"/>
      <c r="J515" s="106"/>
      <c r="K515" s="106"/>
      <c r="L515" s="106"/>
      <c r="M515" s="106"/>
      <c r="N515" s="106"/>
      <c r="O515" s="106"/>
      <c r="P515" s="106"/>
      <c r="Q515" s="106"/>
      <c r="R515" s="106"/>
      <c r="S515" s="106"/>
      <c r="T515" s="106"/>
      <c r="U515" s="106"/>
      <c r="V515" s="106"/>
      <c r="W515" s="106"/>
      <c r="X515" s="106"/>
      <c r="Y515" s="106"/>
      <c r="Z515" s="106"/>
      <c r="AA515" s="106"/>
      <c r="AB515" s="106"/>
      <c r="AC515" s="106"/>
      <c r="AD515" s="106"/>
      <c r="AE515" s="106"/>
      <c r="AF515" s="106"/>
      <c r="AG515" s="106"/>
      <c r="AH515" s="106"/>
      <c r="AI515" s="106"/>
      <c r="AJ515" s="106"/>
      <c r="AM515" s="96"/>
      <c r="AN515" s="96"/>
      <c r="AO515" s="96"/>
      <c r="AP515" s="96"/>
      <c r="AQ515" s="96"/>
      <c r="AR515" s="96"/>
    </row>
    <row r="516" spans="1:44" s="6" customFormat="1" hidden="1">
      <c r="A516" s="106"/>
      <c r="B516" s="106"/>
      <c r="C516" s="106"/>
      <c r="D516" s="106"/>
      <c r="E516" s="106"/>
      <c r="F516" s="106"/>
      <c r="G516" s="106"/>
      <c r="H516" s="106"/>
      <c r="I516" s="106"/>
      <c r="J516" s="106"/>
      <c r="K516" s="106"/>
      <c r="L516" s="106"/>
      <c r="M516" s="106"/>
      <c r="N516" s="106"/>
      <c r="O516" s="106"/>
      <c r="P516" s="106"/>
      <c r="Q516" s="106"/>
      <c r="R516" s="106"/>
      <c r="S516" s="106"/>
      <c r="T516" s="106"/>
      <c r="U516" s="106"/>
      <c r="V516" s="106"/>
      <c r="W516" s="106"/>
      <c r="X516" s="106"/>
      <c r="Y516" s="106"/>
      <c r="Z516" s="106"/>
      <c r="AA516" s="106"/>
      <c r="AB516" s="106"/>
      <c r="AC516" s="106"/>
      <c r="AD516" s="106"/>
      <c r="AE516" s="106"/>
      <c r="AF516" s="106"/>
      <c r="AG516" s="106"/>
      <c r="AH516" s="106"/>
      <c r="AI516" s="106"/>
      <c r="AJ516" s="106"/>
      <c r="AM516" s="96"/>
      <c r="AN516" s="96"/>
      <c r="AO516" s="96"/>
      <c r="AP516" s="96"/>
      <c r="AQ516" s="96"/>
      <c r="AR516" s="96"/>
    </row>
    <row r="517" spans="1:44" s="6" customFormat="1" hidden="1">
      <c r="A517" s="106"/>
      <c r="B517" s="106"/>
      <c r="C517" s="106"/>
      <c r="D517" s="106"/>
      <c r="E517" s="106"/>
      <c r="F517" s="106"/>
      <c r="G517" s="106"/>
      <c r="H517" s="106"/>
      <c r="I517" s="106"/>
      <c r="J517" s="106"/>
      <c r="K517" s="106"/>
      <c r="L517" s="106"/>
      <c r="M517" s="106"/>
      <c r="N517" s="106"/>
      <c r="O517" s="106"/>
      <c r="P517" s="106"/>
      <c r="Q517" s="106"/>
      <c r="R517" s="106"/>
      <c r="S517" s="106"/>
      <c r="T517" s="106"/>
      <c r="U517" s="106"/>
      <c r="V517" s="106"/>
      <c r="W517" s="106"/>
      <c r="X517" s="106"/>
      <c r="Y517" s="106"/>
      <c r="Z517" s="106"/>
      <c r="AA517" s="106"/>
      <c r="AB517" s="106"/>
      <c r="AC517" s="106"/>
      <c r="AD517" s="106"/>
      <c r="AE517" s="106"/>
      <c r="AF517" s="106"/>
      <c r="AG517" s="106"/>
      <c r="AH517" s="106"/>
      <c r="AI517" s="106"/>
      <c r="AJ517" s="106"/>
      <c r="AM517" s="96"/>
      <c r="AN517" s="96"/>
      <c r="AO517" s="96"/>
      <c r="AP517" s="96"/>
      <c r="AQ517" s="96"/>
      <c r="AR517" s="96"/>
    </row>
    <row r="518" spans="1:44" s="6" customFormat="1" hidden="1">
      <c r="A518" s="106"/>
      <c r="B518" s="106"/>
      <c r="C518" s="106"/>
      <c r="D518" s="106"/>
      <c r="E518" s="106"/>
      <c r="F518" s="106"/>
      <c r="G518" s="106"/>
      <c r="H518" s="106"/>
      <c r="I518" s="106"/>
      <c r="J518" s="106"/>
      <c r="K518" s="106"/>
      <c r="L518" s="106"/>
      <c r="M518" s="106"/>
      <c r="N518" s="106"/>
      <c r="O518" s="106"/>
      <c r="P518" s="106"/>
      <c r="Q518" s="106"/>
      <c r="R518" s="106"/>
      <c r="S518" s="106"/>
      <c r="T518" s="106"/>
      <c r="U518" s="106"/>
      <c r="V518" s="106"/>
      <c r="W518" s="106"/>
      <c r="X518" s="106"/>
      <c r="Y518" s="106"/>
      <c r="Z518" s="106"/>
      <c r="AA518" s="106"/>
      <c r="AB518" s="106"/>
      <c r="AC518" s="106"/>
      <c r="AD518" s="106"/>
      <c r="AE518" s="106"/>
      <c r="AF518" s="106"/>
      <c r="AG518" s="106"/>
      <c r="AH518" s="106"/>
      <c r="AI518" s="106"/>
      <c r="AJ518" s="106"/>
      <c r="AM518" s="96"/>
      <c r="AN518" s="96"/>
      <c r="AO518" s="96"/>
      <c r="AP518" s="96"/>
      <c r="AQ518" s="96"/>
      <c r="AR518" s="96"/>
    </row>
    <row r="519" spans="1:44" s="6" customFormat="1" hidden="1">
      <c r="A519" s="106"/>
      <c r="B519" s="106"/>
      <c r="C519" s="106"/>
      <c r="D519" s="106"/>
      <c r="E519" s="106"/>
      <c r="F519" s="106"/>
      <c r="G519" s="106"/>
      <c r="H519" s="106"/>
      <c r="I519" s="106"/>
      <c r="J519" s="106"/>
      <c r="K519" s="106"/>
      <c r="L519" s="106"/>
      <c r="M519" s="106"/>
      <c r="N519" s="106"/>
      <c r="O519" s="106"/>
      <c r="P519" s="106"/>
      <c r="Q519" s="106"/>
      <c r="R519" s="106"/>
      <c r="S519" s="106"/>
      <c r="T519" s="106"/>
      <c r="U519" s="106"/>
      <c r="V519" s="106"/>
      <c r="W519" s="106"/>
      <c r="X519" s="106"/>
      <c r="Y519" s="106"/>
      <c r="Z519" s="106"/>
      <c r="AA519" s="106"/>
      <c r="AB519" s="106"/>
      <c r="AC519" s="106"/>
      <c r="AD519" s="106"/>
      <c r="AE519" s="106"/>
      <c r="AF519" s="106"/>
      <c r="AG519" s="106"/>
      <c r="AH519" s="106"/>
      <c r="AI519" s="106"/>
      <c r="AJ519" s="106"/>
      <c r="AM519" s="96"/>
      <c r="AN519" s="96"/>
      <c r="AO519" s="96"/>
      <c r="AP519" s="96"/>
      <c r="AQ519" s="96"/>
      <c r="AR519" s="96"/>
    </row>
    <row r="520" spans="1:44" s="6" customFormat="1" hidden="1">
      <c r="A520" s="106"/>
      <c r="B520" s="106"/>
      <c r="C520" s="106"/>
      <c r="D520" s="106"/>
      <c r="E520" s="106"/>
      <c r="F520" s="106"/>
      <c r="G520" s="106"/>
      <c r="H520" s="106"/>
      <c r="I520" s="106"/>
      <c r="J520" s="106"/>
      <c r="K520" s="106"/>
      <c r="L520" s="106"/>
      <c r="M520" s="106"/>
      <c r="N520" s="106"/>
      <c r="O520" s="106"/>
      <c r="P520" s="106"/>
      <c r="Q520" s="106"/>
      <c r="R520" s="106"/>
      <c r="S520" s="106"/>
      <c r="T520" s="106"/>
      <c r="U520" s="106"/>
      <c r="V520" s="106"/>
      <c r="W520" s="106"/>
      <c r="X520" s="106"/>
      <c r="Y520" s="106"/>
      <c r="Z520" s="106"/>
      <c r="AA520" s="106"/>
      <c r="AB520" s="106"/>
      <c r="AC520" s="106"/>
      <c r="AD520" s="106"/>
      <c r="AE520" s="106"/>
      <c r="AF520" s="106"/>
      <c r="AG520" s="106"/>
      <c r="AH520" s="106"/>
      <c r="AI520" s="106"/>
      <c r="AJ520" s="106"/>
      <c r="AM520" s="96"/>
      <c r="AN520" s="96"/>
      <c r="AO520" s="96"/>
      <c r="AP520" s="96"/>
      <c r="AQ520" s="96"/>
      <c r="AR520" s="96"/>
    </row>
    <row r="521" spans="1:44" s="6" customFormat="1" hidden="1">
      <c r="A521" s="106"/>
      <c r="B521" s="106"/>
      <c r="C521" s="106"/>
      <c r="D521" s="106"/>
      <c r="E521" s="106"/>
      <c r="F521" s="106"/>
      <c r="G521" s="106"/>
      <c r="H521" s="106"/>
      <c r="I521" s="106"/>
      <c r="J521" s="106"/>
      <c r="K521" s="106"/>
      <c r="L521" s="106"/>
      <c r="M521" s="106"/>
      <c r="N521" s="106"/>
      <c r="O521" s="106"/>
      <c r="P521" s="106"/>
      <c r="Q521" s="106"/>
      <c r="R521" s="106"/>
      <c r="S521" s="106"/>
      <c r="T521" s="106"/>
      <c r="U521" s="106"/>
      <c r="V521" s="106"/>
      <c r="W521" s="106"/>
      <c r="X521" s="106"/>
      <c r="Y521" s="106"/>
      <c r="Z521" s="106"/>
      <c r="AA521" s="106"/>
      <c r="AB521" s="106"/>
      <c r="AC521" s="106"/>
      <c r="AD521" s="106"/>
      <c r="AE521" s="106"/>
      <c r="AF521" s="106"/>
      <c r="AG521" s="106"/>
      <c r="AH521" s="106"/>
      <c r="AI521" s="106"/>
      <c r="AJ521" s="106"/>
      <c r="AM521" s="96"/>
      <c r="AN521" s="96"/>
      <c r="AO521" s="96"/>
      <c r="AP521" s="96"/>
      <c r="AQ521" s="96"/>
      <c r="AR521" s="96"/>
    </row>
    <row r="522" spans="1:44" s="6" customFormat="1" hidden="1">
      <c r="A522" s="106"/>
      <c r="B522" s="106"/>
      <c r="C522" s="106"/>
      <c r="D522" s="106"/>
      <c r="E522" s="106"/>
      <c r="F522" s="106"/>
      <c r="G522" s="106"/>
      <c r="H522" s="106"/>
      <c r="I522" s="106"/>
      <c r="J522" s="106"/>
      <c r="K522" s="106"/>
      <c r="L522" s="106"/>
      <c r="M522" s="106"/>
      <c r="N522" s="106"/>
      <c r="O522" s="106"/>
      <c r="P522" s="106"/>
      <c r="Q522" s="106"/>
      <c r="R522" s="106"/>
      <c r="S522" s="106"/>
      <c r="T522" s="106"/>
      <c r="U522" s="106"/>
      <c r="V522" s="106"/>
      <c r="W522" s="106"/>
      <c r="X522" s="106"/>
      <c r="Y522" s="106"/>
      <c r="Z522" s="106"/>
      <c r="AA522" s="106"/>
      <c r="AB522" s="106"/>
      <c r="AC522" s="106"/>
      <c r="AD522" s="106"/>
      <c r="AE522" s="106"/>
      <c r="AF522" s="106"/>
      <c r="AG522" s="106"/>
      <c r="AH522" s="106"/>
      <c r="AI522" s="106"/>
      <c r="AJ522" s="106"/>
      <c r="AM522" s="96"/>
      <c r="AN522" s="96"/>
      <c r="AO522" s="96"/>
      <c r="AP522" s="96"/>
      <c r="AQ522" s="96"/>
      <c r="AR522" s="96"/>
    </row>
    <row r="523" spans="1:44" s="6" customFormat="1" hidden="1">
      <c r="A523" s="106"/>
      <c r="B523" s="106"/>
      <c r="C523" s="106"/>
      <c r="D523" s="106"/>
      <c r="E523" s="106"/>
      <c r="F523" s="106"/>
      <c r="G523" s="106"/>
      <c r="H523" s="106"/>
      <c r="I523" s="106"/>
      <c r="J523" s="106"/>
      <c r="K523" s="106"/>
      <c r="L523" s="106"/>
      <c r="M523" s="106"/>
      <c r="N523" s="106"/>
      <c r="O523" s="106"/>
      <c r="P523" s="106"/>
      <c r="Q523" s="106"/>
      <c r="R523" s="106"/>
      <c r="S523" s="106"/>
      <c r="T523" s="106"/>
      <c r="U523" s="106"/>
      <c r="V523" s="106"/>
      <c r="W523" s="106"/>
      <c r="X523" s="106"/>
      <c r="Y523" s="106"/>
      <c r="Z523" s="106"/>
      <c r="AA523" s="106"/>
      <c r="AB523" s="106"/>
      <c r="AC523" s="106"/>
      <c r="AD523" s="106"/>
      <c r="AE523" s="106"/>
      <c r="AF523" s="106"/>
      <c r="AG523" s="106"/>
      <c r="AH523" s="106"/>
      <c r="AI523" s="106"/>
      <c r="AJ523" s="106"/>
      <c r="AM523" s="96"/>
      <c r="AN523" s="96"/>
      <c r="AO523" s="96"/>
      <c r="AP523" s="96"/>
      <c r="AQ523" s="96"/>
      <c r="AR523" s="96"/>
    </row>
    <row r="524" spans="1:44" s="6" customFormat="1" hidden="1">
      <c r="A524" s="106"/>
      <c r="B524" s="106"/>
      <c r="C524" s="106"/>
      <c r="D524" s="106"/>
      <c r="E524" s="106"/>
      <c r="F524" s="106"/>
      <c r="G524" s="106"/>
      <c r="H524" s="106"/>
      <c r="I524" s="106"/>
      <c r="J524" s="106"/>
      <c r="K524" s="106"/>
      <c r="L524" s="106"/>
      <c r="M524" s="106"/>
      <c r="N524" s="106"/>
      <c r="O524" s="106"/>
      <c r="P524" s="106"/>
      <c r="Q524" s="106"/>
      <c r="R524" s="106"/>
      <c r="S524" s="106"/>
      <c r="T524" s="106"/>
      <c r="U524" s="106"/>
      <c r="V524" s="106"/>
      <c r="W524" s="106"/>
      <c r="X524" s="106"/>
      <c r="Y524" s="106"/>
      <c r="Z524" s="106"/>
      <c r="AA524" s="106"/>
      <c r="AB524" s="106"/>
      <c r="AC524" s="106"/>
      <c r="AD524" s="106"/>
      <c r="AE524" s="106"/>
      <c r="AF524" s="106"/>
      <c r="AG524" s="106"/>
      <c r="AH524" s="106"/>
      <c r="AI524" s="106"/>
      <c r="AJ524" s="106"/>
      <c r="AM524" s="96"/>
      <c r="AN524" s="96"/>
      <c r="AO524" s="96"/>
      <c r="AP524" s="96"/>
      <c r="AQ524" s="96"/>
      <c r="AR524" s="96"/>
    </row>
    <row r="525" spans="1:44" s="6" customFormat="1" hidden="1">
      <c r="A525" s="106"/>
      <c r="B525" s="106"/>
      <c r="C525" s="106"/>
      <c r="D525" s="106"/>
      <c r="E525" s="106"/>
      <c r="F525" s="106"/>
      <c r="G525" s="106"/>
      <c r="H525" s="106"/>
      <c r="I525" s="106"/>
      <c r="J525" s="106"/>
      <c r="K525" s="106"/>
      <c r="L525" s="106"/>
      <c r="M525" s="106"/>
      <c r="N525" s="106"/>
      <c r="O525" s="106"/>
      <c r="P525" s="106"/>
      <c r="Q525" s="106"/>
      <c r="R525" s="106"/>
      <c r="S525" s="106"/>
      <c r="T525" s="106"/>
      <c r="U525" s="106"/>
      <c r="V525" s="106"/>
      <c r="W525" s="106"/>
      <c r="X525" s="106"/>
      <c r="Y525" s="106"/>
      <c r="Z525" s="106"/>
      <c r="AA525" s="106"/>
      <c r="AB525" s="106"/>
      <c r="AC525" s="106"/>
      <c r="AD525" s="106"/>
      <c r="AE525" s="106"/>
      <c r="AF525" s="106"/>
      <c r="AG525" s="106"/>
      <c r="AH525" s="106"/>
      <c r="AI525" s="106"/>
      <c r="AJ525" s="106"/>
      <c r="AM525" s="96"/>
      <c r="AN525" s="96"/>
      <c r="AO525" s="96"/>
      <c r="AP525" s="96"/>
      <c r="AQ525" s="96"/>
      <c r="AR525" s="96"/>
    </row>
    <row r="526" spans="1:44" s="6" customFormat="1" hidden="1">
      <c r="A526" s="106"/>
      <c r="B526" s="106"/>
      <c r="C526" s="106"/>
      <c r="D526" s="106"/>
      <c r="E526" s="106"/>
      <c r="F526" s="106"/>
      <c r="G526" s="106"/>
      <c r="H526" s="106"/>
      <c r="I526" s="106"/>
      <c r="J526" s="106"/>
      <c r="K526" s="106"/>
      <c r="L526" s="106"/>
      <c r="M526" s="106"/>
      <c r="N526" s="106"/>
      <c r="O526" s="106"/>
      <c r="P526" s="106"/>
      <c r="Q526" s="106"/>
      <c r="R526" s="106"/>
      <c r="S526" s="106"/>
      <c r="T526" s="106"/>
      <c r="U526" s="106"/>
      <c r="V526" s="106"/>
      <c r="W526" s="106"/>
      <c r="X526" s="106"/>
      <c r="Y526" s="106"/>
      <c r="Z526" s="106"/>
      <c r="AA526" s="106"/>
      <c r="AB526" s="106"/>
      <c r="AC526" s="106"/>
      <c r="AD526" s="106"/>
      <c r="AE526" s="106"/>
      <c r="AF526" s="106"/>
      <c r="AG526" s="106"/>
      <c r="AH526" s="106"/>
      <c r="AI526" s="106"/>
      <c r="AJ526" s="106"/>
      <c r="AM526" s="96"/>
      <c r="AN526" s="96"/>
      <c r="AO526" s="96"/>
      <c r="AP526" s="96"/>
      <c r="AQ526" s="96"/>
      <c r="AR526" s="96"/>
    </row>
    <row r="527" spans="1:44" s="6" customFormat="1" hidden="1">
      <c r="A527" s="106"/>
      <c r="B527" s="106"/>
      <c r="C527" s="106"/>
      <c r="D527" s="106"/>
      <c r="E527" s="106"/>
      <c r="F527" s="106"/>
      <c r="G527" s="106"/>
      <c r="H527" s="106"/>
      <c r="I527" s="106"/>
      <c r="J527" s="106"/>
      <c r="K527" s="106"/>
      <c r="L527" s="106"/>
      <c r="M527" s="106"/>
      <c r="N527" s="106"/>
      <c r="O527" s="106"/>
      <c r="P527" s="106"/>
      <c r="Q527" s="106"/>
      <c r="R527" s="106"/>
      <c r="S527" s="106"/>
      <c r="T527" s="106"/>
      <c r="U527" s="106"/>
      <c r="V527" s="106"/>
      <c r="W527" s="106"/>
      <c r="X527" s="106"/>
      <c r="Y527" s="106"/>
      <c r="Z527" s="106"/>
      <c r="AA527" s="106"/>
      <c r="AB527" s="106"/>
      <c r="AC527" s="106"/>
      <c r="AD527" s="106"/>
      <c r="AE527" s="106"/>
      <c r="AF527" s="106"/>
      <c r="AG527" s="106"/>
      <c r="AH527" s="106"/>
      <c r="AI527" s="106"/>
      <c r="AJ527" s="106"/>
      <c r="AM527" s="96"/>
      <c r="AN527" s="96"/>
      <c r="AO527" s="96"/>
      <c r="AP527" s="96"/>
      <c r="AQ527" s="96"/>
      <c r="AR527" s="96"/>
    </row>
    <row r="558" ht="20.100000000000001" hidden="1" customHeight="1"/>
    <row r="563" ht="30" hidden="1" customHeight="1"/>
    <row r="564" ht="30" hidden="1" customHeight="1"/>
    <row r="566" ht="30" hidden="1" customHeight="1"/>
    <row r="567" ht="24.95" hidden="1" customHeight="1"/>
    <row r="568" ht="24.95" hidden="1" customHeight="1"/>
    <row r="569" ht="24.95" hidden="1" customHeight="1"/>
    <row r="570" ht="24.95" hidden="1" customHeight="1"/>
    <row r="571" ht="24.95" hidden="1" customHeight="1"/>
    <row r="572" ht="24.95" hidden="1" customHeight="1"/>
    <row r="573" ht="24.95" hidden="1" customHeight="1"/>
    <row r="574" ht="24.95" hidden="1" customHeight="1"/>
    <row r="575" ht="24.95" hidden="1" customHeight="1"/>
    <row r="576" ht="24.95" hidden="1" customHeight="1"/>
    <row r="577" ht="24.95" hidden="1" customHeight="1"/>
    <row r="578" ht="24.95" hidden="1" customHeight="1"/>
    <row r="579" ht="24.95" hidden="1" customHeight="1"/>
    <row r="580" ht="24.95" hidden="1" customHeight="1"/>
    <row r="581" ht="24.95" hidden="1" customHeight="1"/>
    <row r="582" ht="24.95" hidden="1" customHeight="1"/>
    <row r="583" ht="24.95" hidden="1" customHeight="1"/>
    <row r="584" ht="24.95" hidden="1" customHeight="1"/>
    <row r="585" ht="24.95" hidden="1" customHeight="1"/>
    <row r="586" ht="24.95" hidden="1" customHeight="1"/>
    <row r="587" ht="24.95" hidden="1" customHeight="1"/>
  </sheetData>
  <sheetProtection password="C528" sheet="1" selectLockedCells="1"/>
  <mergeCells count="72">
    <mergeCell ref="C33:O33"/>
    <mergeCell ref="P33:W33"/>
    <mergeCell ref="X33:AB33"/>
    <mergeCell ref="K17:AH17"/>
    <mergeCell ref="C32:O32"/>
    <mergeCell ref="P32:W32"/>
    <mergeCell ref="X32:AB32"/>
    <mergeCell ref="AC32:AH32"/>
    <mergeCell ref="AC33:AH33"/>
    <mergeCell ref="M53:AH53"/>
    <mergeCell ref="F54:L54"/>
    <mergeCell ref="Y54:AH54"/>
    <mergeCell ref="R55:AD55"/>
    <mergeCell ref="R56:AD56"/>
    <mergeCell ref="AC57:AH57"/>
    <mergeCell ref="E74:W74"/>
    <mergeCell ref="C60:F60"/>
    <mergeCell ref="G60:N60"/>
    <mergeCell ref="O60:Q60"/>
    <mergeCell ref="R60:Y60"/>
    <mergeCell ref="Z60:AB60"/>
    <mergeCell ref="O59:Q59"/>
    <mergeCell ref="R59:Y59"/>
    <mergeCell ref="Z59:AC59"/>
    <mergeCell ref="AC60:AH60"/>
    <mergeCell ref="C59:E59"/>
    <mergeCell ref="F59:N59"/>
    <mergeCell ref="E75:W75"/>
    <mergeCell ref="E88:J88"/>
    <mergeCell ref="U77:Z77"/>
    <mergeCell ref="AA88:AH88"/>
    <mergeCell ref="C83:U83"/>
    <mergeCell ref="C84:U87"/>
    <mergeCell ref="C62:AH63"/>
    <mergeCell ref="AD59:AH59"/>
    <mergeCell ref="Z95:AH95"/>
    <mergeCell ref="C65:E65"/>
    <mergeCell ref="F65:N65"/>
    <mergeCell ref="C66:E66"/>
    <mergeCell ref="F66:N66"/>
    <mergeCell ref="U66:AH66"/>
    <mergeCell ref="G77:P77"/>
    <mergeCell ref="C34:D35"/>
    <mergeCell ref="C36:D37"/>
    <mergeCell ref="C38:D39"/>
    <mergeCell ref="C40:D41"/>
    <mergeCell ref="C42:D43"/>
    <mergeCell ref="E42:O42"/>
    <mergeCell ref="E43:O43"/>
    <mergeCell ref="E36:O36"/>
    <mergeCell ref="E38:O38"/>
    <mergeCell ref="P34:W35"/>
    <mergeCell ref="E39:O39"/>
    <mergeCell ref="E41:O41"/>
    <mergeCell ref="E35:O35"/>
    <mergeCell ref="E37:O37"/>
    <mergeCell ref="E34:O34"/>
    <mergeCell ref="E40:O40"/>
    <mergeCell ref="X34:AB35"/>
    <mergeCell ref="X36:AB37"/>
    <mergeCell ref="X38:AB39"/>
    <mergeCell ref="X40:AB41"/>
    <mergeCell ref="AC36:AH37"/>
    <mergeCell ref="AC38:AH39"/>
    <mergeCell ref="AC40:AH41"/>
    <mergeCell ref="AC34:AH35"/>
    <mergeCell ref="AC42:AH43"/>
    <mergeCell ref="P36:W37"/>
    <mergeCell ref="P38:W39"/>
    <mergeCell ref="P40:W41"/>
    <mergeCell ref="P42:W43"/>
    <mergeCell ref="X42:AB43"/>
  </mergeCells>
  <conditionalFormatting sqref="AC42">
    <cfRule type="expression" dxfId="0" priority="1" stopIfTrue="1">
      <formula>AND(SUM($AC$34:$AH$43)&lt;&gt;0,SUM($AC$34:$AH$43)&lt;100)</formula>
    </cfRule>
  </conditionalFormatting>
  <dataValidations count="4">
    <dataValidation type="whole" allowBlank="1" showInputMessage="1" showErrorMessage="1" error="Total share among nominees should be equal to 100" sqref="AC42">
      <formula1>0</formula1>
      <formula2>100-SUM($AC$34:$AH$38,$AC$43)</formula2>
    </dataValidation>
    <dataValidation type="custom" allowBlank="1" showInputMessage="1" showErrorMessage="1" error="Please enter in BLOCK letters" sqref="E74:W75 F59:N59 R59:Y60 AD59:AH59 G60:N60">
      <formula1>EXACT(E59,UPPER(E59))</formula1>
    </dataValidation>
    <dataValidation type="list" allowBlank="1" showInputMessage="1" showErrorMessage="1" sqref="E42:O42">
      <formula1>$AM$2:$AM$11</formula1>
    </dataValidation>
    <dataValidation allowBlank="1" showInputMessage="1" showErrorMessage="1" error="Total share among nominees should be equal to 100" sqref="AC34:AH41"/>
  </dataValidations>
  <pageMargins left="0" right="0" top="0" bottom="0" header="0" footer="0"/>
  <pageSetup paperSize="9" orientation="portrait" r:id="rId1"/>
  <rowBreaks count="1" manualBreakCount="1">
    <brk id="46" max="16383" man="1"/>
  </rowBreaks>
  <ignoredErrors>
    <ignoredError sqref="C33:AH33 C34 C36 C38 C40" numberStoredAsText="1"/>
  </ignoredErrors>
  <drawing r:id="rId2"/>
</worksheet>
</file>

<file path=xl/worksheets/sheet6.xml><?xml version="1.0" encoding="utf-8"?>
<worksheet xmlns="http://schemas.openxmlformats.org/spreadsheetml/2006/main" xmlns:r="http://schemas.openxmlformats.org/officeDocument/2006/relationships">
  <sheetPr codeName="Sheet3"/>
  <dimension ref="A1:AR2098"/>
  <sheetViews>
    <sheetView showGridLines="0" showRowColHeaders="0" workbookViewId="0">
      <selection activeCell="C1" sqref="C1"/>
    </sheetView>
  </sheetViews>
  <sheetFormatPr defaultColWidth="0" defaultRowHeight="0" customHeight="1" zeroHeight="1"/>
  <cols>
    <col min="1" max="11" width="2.7109375" style="106" customWidth="1"/>
    <col min="12" max="18" width="4.5703125" style="106" customWidth="1"/>
    <col min="19" max="22" width="6.42578125" style="106" customWidth="1"/>
    <col min="23" max="23" width="2.7109375" style="106" customWidth="1"/>
    <col min="24" max="36" width="2.7109375" style="106" hidden="1" customWidth="1"/>
    <col min="37" max="53" width="9.140625" style="106" hidden="1" customWidth="1"/>
    <col min="54" max="16384" width="9.140625" style="106" hidden="1"/>
  </cols>
  <sheetData>
    <row r="1" spans="3:44" ht="15" customHeight="1">
      <c r="AL1" s="106" t="s">
        <v>298</v>
      </c>
      <c r="AM1" s="96" t="s">
        <v>336</v>
      </c>
      <c r="AN1" s="96" t="s">
        <v>138</v>
      </c>
      <c r="AO1" s="96"/>
      <c r="AP1" s="96"/>
      <c r="AQ1" s="96"/>
      <c r="AR1" s="96"/>
    </row>
    <row r="2" spans="3:44" ht="15">
      <c r="AL2" s="26" t="s">
        <v>299</v>
      </c>
      <c r="AM2" s="106" t="str">
        <f>+IF('Employee Data Form'!F43="","",'Employee Data Form'!F43)</f>
        <v>KOMMULA RAJAIAH</v>
      </c>
      <c r="AN2" s="106" t="str">
        <f>IF('Employee Data Form'!P43="","",'Employee Data Form'!P43)</f>
        <v>FATHER</v>
      </c>
    </row>
    <row r="3" spans="3:44" ht="15">
      <c r="AL3" s="26" t="s">
        <v>300</v>
      </c>
      <c r="AM3" s="106" t="str">
        <f>+IF('Employee Data Form'!F44="","",'Employee Data Form'!F44)</f>
        <v>KOMMUA SUGUNA</v>
      </c>
      <c r="AN3" s="106" t="str">
        <f>IF('Employee Data Form'!P44="","",'Employee Data Form'!P44)</f>
        <v>MOTHER</v>
      </c>
    </row>
    <row r="4" spans="3:44" ht="15">
      <c r="AL4" s="26" t="s">
        <v>301</v>
      </c>
      <c r="AM4" s="106" t="str">
        <f>+IF('Employee Data Form'!F45="","",'Employee Data Form'!F45)</f>
        <v>KOMMULA VINOD</v>
      </c>
      <c r="AN4" s="106" t="str">
        <f>IF('Employee Data Form'!P45="","",'Employee Data Form'!P45)</f>
        <v>BROTHER</v>
      </c>
    </row>
    <row r="5" spans="3:44" ht="15">
      <c r="AL5" s="26" t="s">
        <v>302</v>
      </c>
      <c r="AM5" s="106" t="str">
        <f>+IF('Employee Data Form'!F46="","",'Employee Data Form'!F46)</f>
        <v>KOMMULA SHIVA</v>
      </c>
      <c r="AN5" s="106" t="str">
        <f>IF('Employee Data Form'!P46="","",'Employee Data Form'!P46)</f>
        <v>BROTHER</v>
      </c>
    </row>
    <row r="6" spans="3:44" ht="20.100000000000001" customHeight="1">
      <c r="C6" s="545" t="s">
        <v>72</v>
      </c>
      <c r="D6" s="545"/>
      <c r="E6" s="545"/>
      <c r="F6" s="545"/>
      <c r="G6" s="545"/>
      <c r="H6" s="545"/>
      <c r="I6" s="545"/>
      <c r="J6" s="545"/>
      <c r="K6" s="545"/>
      <c r="L6" s="545"/>
      <c r="M6" s="545"/>
      <c r="N6" s="545"/>
      <c r="O6" s="545"/>
      <c r="P6" s="545"/>
      <c r="Q6" s="545"/>
      <c r="R6" s="545"/>
      <c r="S6" s="545"/>
      <c r="T6" s="545"/>
      <c r="U6" s="545"/>
      <c r="V6" s="545"/>
      <c r="W6" s="30"/>
      <c r="X6" s="30"/>
      <c r="Y6" s="30"/>
      <c r="Z6" s="65"/>
      <c r="AA6" s="65"/>
      <c r="AB6" s="65"/>
      <c r="AL6" s="106" t="s">
        <v>268</v>
      </c>
      <c r="AM6" s="106" t="str">
        <f>+IF('Employee Data Form'!F47="","",'Employee Data Form'!F47)</f>
        <v/>
      </c>
      <c r="AN6" s="106" t="str">
        <f>IF('Employee Data Form'!P47="","",'Employee Data Form'!P47)</f>
        <v/>
      </c>
    </row>
    <row r="7" spans="3:44" ht="9.9499999999999993" customHeight="1">
      <c r="AM7" s="106" t="str">
        <f>+IF('Employee Data Form'!F48="","",'Employee Data Form'!F48)</f>
        <v/>
      </c>
      <c r="AN7" s="106" t="str">
        <f>IF('Employee Data Form'!P48="","",'Employee Data Form'!P48)</f>
        <v/>
      </c>
    </row>
    <row r="8" spans="3:44" ht="15.75">
      <c r="C8" s="16" t="s">
        <v>944</v>
      </c>
      <c r="D8" s="41"/>
      <c r="E8" s="13"/>
      <c r="J8" s="106" t="str">
        <f>'Employee Data Form'!D209</f>
        <v>SRIKANTH KOMMULA</v>
      </c>
      <c r="AM8" s="106" t="str">
        <f>+IF('Employee Data Form'!F49="","",'Employee Data Form'!F49)</f>
        <v/>
      </c>
      <c r="AN8" s="106" t="str">
        <f>IF('Employee Data Form'!P49="","",'Employee Data Form'!P49)</f>
        <v/>
      </c>
    </row>
    <row r="9" spans="3:44" ht="15.75">
      <c r="R9" s="85"/>
      <c r="S9" s="13"/>
    </row>
    <row r="10" spans="3:44" ht="9.9499999999999993" customHeight="1"/>
    <row r="11" spans="3:44" ht="45" customHeight="1">
      <c r="C11" s="213" t="s">
        <v>224</v>
      </c>
      <c r="D11" s="317"/>
      <c r="E11" s="317"/>
      <c r="F11" s="317"/>
      <c r="G11" s="317"/>
      <c r="H11" s="317"/>
      <c r="I11" s="317"/>
      <c r="J11" s="317"/>
      <c r="K11" s="318"/>
      <c r="L11" s="213" t="s">
        <v>225</v>
      </c>
      <c r="M11" s="317"/>
      <c r="N11" s="317"/>
      <c r="O11" s="317"/>
      <c r="P11" s="317"/>
      <c r="Q11" s="317"/>
      <c r="R11" s="318"/>
      <c r="S11" s="213" t="s">
        <v>946</v>
      </c>
      <c r="T11" s="317"/>
      <c r="U11" s="317"/>
      <c r="V11" s="318"/>
    </row>
    <row r="12" spans="3:44" ht="60" customHeight="1">
      <c r="C12" s="596" t="str">
        <f>IF('Employee Data Form'!C174="","",'Employee Data Form'!C174)</f>
        <v/>
      </c>
      <c r="D12" s="596"/>
      <c r="E12" s="596"/>
      <c r="F12" s="596"/>
      <c r="G12" s="596"/>
      <c r="H12" s="596"/>
      <c r="I12" s="596"/>
      <c r="J12" s="596"/>
      <c r="K12" s="596"/>
      <c r="L12" s="596" t="str">
        <f>IF(C12="","",VLOOKUP(C12,$AM$2:$AN$8,2,0))</f>
        <v/>
      </c>
      <c r="M12" s="596"/>
      <c r="N12" s="596"/>
      <c r="O12" s="596"/>
      <c r="P12" s="596"/>
      <c r="Q12" s="596"/>
      <c r="R12" s="596"/>
      <c r="S12" s="453" t="str">
        <f>IF('Employee Data Form'!U174="","",'Employee Data Form'!U174)</f>
        <v/>
      </c>
      <c r="T12" s="454"/>
      <c r="U12" s="454"/>
      <c r="V12" s="455"/>
    </row>
    <row r="13" spans="3:44" ht="60" customHeight="1">
      <c r="C13" s="596" t="str">
        <f>IF('Employee Data Form'!C175="","",'Employee Data Form'!C175)</f>
        <v/>
      </c>
      <c r="D13" s="596"/>
      <c r="E13" s="596"/>
      <c r="F13" s="596"/>
      <c r="G13" s="596"/>
      <c r="H13" s="596"/>
      <c r="I13" s="596"/>
      <c r="J13" s="596"/>
      <c r="K13" s="596"/>
      <c r="L13" s="596" t="str">
        <f>IF(C13="","",VLOOKUP(C13,$AM$2:$AN$8,2,0))</f>
        <v/>
      </c>
      <c r="M13" s="596"/>
      <c r="N13" s="596"/>
      <c r="O13" s="596"/>
      <c r="P13" s="596"/>
      <c r="Q13" s="596"/>
      <c r="R13" s="596"/>
      <c r="S13" s="453" t="str">
        <f>IF('Employee Data Form'!U175="","",'Employee Data Form'!U175)</f>
        <v/>
      </c>
      <c r="T13" s="454"/>
      <c r="U13" s="454"/>
      <c r="V13" s="455"/>
    </row>
    <row r="14" spans="3:44" ht="60" customHeight="1">
      <c r="C14" s="596" t="str">
        <f>IF('Employee Data Form'!C176="","",'Employee Data Form'!C176)</f>
        <v/>
      </c>
      <c r="D14" s="596"/>
      <c r="E14" s="596"/>
      <c r="F14" s="596"/>
      <c r="G14" s="596"/>
      <c r="H14" s="596"/>
      <c r="I14" s="596"/>
      <c r="J14" s="596"/>
      <c r="K14" s="596"/>
      <c r="L14" s="596" t="str">
        <f>IF(C14="","",VLOOKUP(C14,$AM$2:$AN$8,2,0))</f>
        <v/>
      </c>
      <c r="M14" s="596"/>
      <c r="N14" s="596"/>
      <c r="O14" s="596"/>
      <c r="P14" s="596"/>
      <c r="Q14" s="596"/>
      <c r="R14" s="596"/>
      <c r="S14" s="453" t="str">
        <f>IF('Employee Data Form'!U176="","",'Employee Data Form'!U176)</f>
        <v/>
      </c>
      <c r="T14" s="454"/>
      <c r="U14" s="454"/>
      <c r="V14" s="455"/>
    </row>
    <row r="15" spans="3:44" ht="60" customHeight="1">
      <c r="C15" s="596" t="str">
        <f>IF('Employee Data Form'!C177="","",'Employee Data Form'!C177)</f>
        <v/>
      </c>
      <c r="D15" s="596"/>
      <c r="E15" s="596"/>
      <c r="F15" s="596"/>
      <c r="G15" s="596"/>
      <c r="H15" s="596"/>
      <c r="I15" s="596"/>
      <c r="J15" s="596"/>
      <c r="K15" s="596"/>
      <c r="L15" s="596" t="str">
        <f>IF(C15="","",VLOOKUP(C15,$AM$2:$AN$8,2,0))</f>
        <v/>
      </c>
      <c r="M15" s="596"/>
      <c r="N15" s="596"/>
      <c r="O15" s="596"/>
      <c r="P15" s="596"/>
      <c r="Q15" s="596"/>
      <c r="R15" s="596"/>
      <c r="S15" s="453" t="str">
        <f>IF('Employee Data Form'!U177="","",'Employee Data Form'!U177)</f>
        <v/>
      </c>
      <c r="T15" s="454"/>
      <c r="U15" s="454"/>
      <c r="V15" s="455"/>
    </row>
    <row r="16" spans="3:44" ht="9.9499999999999993" customHeight="1"/>
    <row r="17" spans="3:37" s="6" customFormat="1" ht="9.9499999999999993" customHeight="1">
      <c r="G17" s="86"/>
      <c r="H17" s="78"/>
      <c r="I17" s="7"/>
      <c r="Y17" s="110"/>
    </row>
    <row r="18" spans="3:37" ht="15.75">
      <c r="C18" s="16" t="s">
        <v>115</v>
      </c>
      <c r="D18" s="41"/>
      <c r="E18" s="43"/>
      <c r="F18" s="43"/>
      <c r="G18" s="43"/>
      <c r="H18" s="43"/>
      <c r="I18" s="43"/>
      <c r="J18" s="43"/>
      <c r="K18" s="43"/>
      <c r="L18" s="43"/>
      <c r="M18" s="43"/>
    </row>
    <row r="19" spans="3:37" ht="15"/>
    <row r="20" spans="3:37" ht="21.75" customHeight="1">
      <c r="C20" s="597" t="s">
        <v>71</v>
      </c>
      <c r="D20" s="597"/>
      <c r="E20" s="597"/>
      <c r="F20" s="597"/>
      <c r="G20" s="600" t="str">
        <f>'Provident Fund'!L14</f>
        <v>SRIKANTH KOMMULA</v>
      </c>
      <c r="H20" s="600"/>
      <c r="I20" s="600"/>
      <c r="J20" s="600"/>
      <c r="K20" s="600"/>
      <c r="L20" s="600"/>
      <c r="M20" s="600"/>
      <c r="N20" s="600"/>
      <c r="O20" s="108"/>
      <c r="P20" s="108"/>
      <c r="Q20" s="154">
        <v>7</v>
      </c>
      <c r="R20" s="599" t="s">
        <v>221</v>
      </c>
      <c r="S20" s="599"/>
      <c r="T20" s="599"/>
      <c r="U20" s="599"/>
      <c r="V20" s="599"/>
      <c r="AA20" s="110"/>
      <c r="AB20" s="110"/>
      <c r="AC20" s="109"/>
      <c r="AD20" s="109"/>
      <c r="AE20" s="109"/>
      <c r="AF20" s="110"/>
      <c r="AG20" s="110"/>
      <c r="AH20" s="110"/>
      <c r="AI20" s="110"/>
      <c r="AJ20" s="110"/>
      <c r="AK20" s="110"/>
    </row>
    <row r="21" spans="3:37" ht="15" customHeight="1">
      <c r="G21" s="600"/>
      <c r="H21" s="600"/>
      <c r="I21" s="600"/>
      <c r="J21" s="600"/>
      <c r="K21" s="600"/>
      <c r="L21" s="600"/>
      <c r="M21" s="600"/>
      <c r="N21" s="600"/>
      <c r="R21" s="108" t="s">
        <v>226</v>
      </c>
      <c r="T21" s="598" t="str">
        <f ca="1">'Employee Data Form'!$H$218</f>
        <v>30-NOV-2022</v>
      </c>
      <c r="U21" s="598"/>
      <c r="V21" s="598"/>
      <c r="Z21" s="151"/>
    </row>
    <row r="22" spans="3:37" s="6" customFormat="1" ht="9.9499999999999993" customHeight="1">
      <c r="G22" s="86"/>
      <c r="H22" s="78"/>
      <c r="I22" s="7"/>
    </row>
    <row r="23" spans="3:37" ht="15"/>
    <row r="24" spans="3:37" ht="15">
      <c r="C24" s="32"/>
      <c r="D24" s="17"/>
      <c r="E24" s="17"/>
      <c r="F24" s="17"/>
      <c r="G24" s="17"/>
      <c r="H24" s="17"/>
      <c r="I24" s="17"/>
      <c r="J24" s="17"/>
      <c r="K24" s="17"/>
      <c r="L24" s="17"/>
      <c r="M24" s="17"/>
      <c r="N24" s="17"/>
      <c r="O24" s="17"/>
      <c r="P24" s="17"/>
      <c r="Q24" s="17"/>
      <c r="R24" s="17"/>
      <c r="S24" s="17"/>
      <c r="T24" s="17"/>
      <c r="U24" s="17"/>
      <c r="V24" s="18"/>
    </row>
    <row r="25" spans="3:37" ht="18.75">
      <c r="C25" s="37"/>
      <c r="D25" s="25"/>
      <c r="E25" s="25"/>
      <c r="F25" s="25"/>
      <c r="G25" s="25"/>
      <c r="H25" s="25"/>
      <c r="I25" s="25"/>
      <c r="J25" s="25"/>
      <c r="K25" s="25"/>
      <c r="L25" s="25"/>
      <c r="M25" s="25"/>
      <c r="N25" s="25"/>
      <c r="O25" s="25"/>
      <c r="P25" s="25"/>
      <c r="Q25" s="25"/>
      <c r="R25" s="87" t="s">
        <v>73</v>
      </c>
      <c r="S25" s="25"/>
      <c r="T25" s="25"/>
      <c r="U25" s="25"/>
      <c r="V25" s="38"/>
    </row>
    <row r="26" spans="3:37" ht="20.100000000000001" customHeight="1">
      <c r="C26" s="495" t="s">
        <v>227</v>
      </c>
      <c r="D26" s="496"/>
      <c r="E26" s="496"/>
      <c r="F26" s="496"/>
      <c r="G26" s="496"/>
      <c r="H26" s="496"/>
      <c r="I26" s="496"/>
      <c r="J26" s="496"/>
      <c r="K26" s="17"/>
      <c r="L26" s="17"/>
      <c r="M26" s="17"/>
      <c r="N26" s="17"/>
      <c r="O26" s="17"/>
      <c r="P26" s="17"/>
      <c r="Q26" s="17"/>
      <c r="R26" s="17"/>
      <c r="S26" s="17"/>
      <c r="T26" s="17"/>
      <c r="U26" s="17"/>
      <c r="V26" s="18"/>
    </row>
    <row r="27" spans="3:37" ht="20.100000000000001" customHeight="1">
      <c r="C27" s="495" t="s">
        <v>228</v>
      </c>
      <c r="D27" s="496"/>
      <c r="E27" s="496"/>
      <c r="F27" s="496"/>
      <c r="G27" s="496"/>
      <c r="H27" s="17"/>
      <c r="I27" s="17"/>
      <c r="J27" s="17"/>
      <c r="K27" s="17"/>
      <c r="L27" s="17"/>
      <c r="M27" s="17"/>
      <c r="N27" s="17"/>
      <c r="O27" s="17"/>
      <c r="P27" s="17"/>
      <c r="Q27" s="17"/>
      <c r="R27" s="17"/>
      <c r="S27" s="17"/>
      <c r="T27" s="17"/>
      <c r="U27" s="17"/>
      <c r="V27" s="18"/>
    </row>
    <row r="28" spans="3:37" ht="20.100000000000001" customHeight="1">
      <c r="C28" s="495" t="s">
        <v>229</v>
      </c>
      <c r="D28" s="496"/>
      <c r="E28" s="496"/>
      <c r="F28" s="496"/>
      <c r="G28" s="9"/>
      <c r="H28" s="9"/>
      <c r="I28" s="9"/>
      <c r="J28" s="9"/>
      <c r="K28" s="9"/>
      <c r="L28" s="9"/>
      <c r="M28" s="9"/>
      <c r="N28" s="9"/>
      <c r="O28" s="9"/>
      <c r="P28" s="9"/>
      <c r="Q28" s="9"/>
      <c r="R28" s="9"/>
      <c r="S28" s="9"/>
      <c r="T28" s="9"/>
      <c r="U28" s="9"/>
      <c r="V28" s="10"/>
    </row>
    <row r="29" spans="3:37" ht="15"/>
    <row r="30" spans="3:37" ht="15.75">
      <c r="C30" s="7" t="s">
        <v>76</v>
      </c>
      <c r="D30" s="41"/>
      <c r="M30" s="16" t="s">
        <v>75</v>
      </c>
      <c r="N30" s="16"/>
    </row>
    <row r="31" spans="3:37" ht="15">
      <c r="C31" s="7" t="s">
        <v>77</v>
      </c>
      <c r="D31" s="16"/>
    </row>
    <row r="32" spans="3:37" ht="15">
      <c r="C32" s="7" t="s">
        <v>78</v>
      </c>
      <c r="D32" s="16"/>
    </row>
    <row r="33" spans="15:15" ht="15"/>
    <row r="34" spans="15:15" ht="15">
      <c r="O34" s="20">
        <v>13</v>
      </c>
    </row>
    <row r="35" spans="15:15" ht="15"/>
    <row r="36" spans="15:15" ht="15" hidden="1"/>
    <row r="37" spans="15:15" ht="15" hidden="1"/>
    <row r="38" spans="15:15" ht="15" hidden="1"/>
    <row r="39" spans="15:15" ht="15" hidden="1"/>
    <row r="40" spans="15:15" ht="15" hidden="1"/>
    <row r="41" spans="15:15" ht="15" hidden="1"/>
    <row r="42" spans="15:15" ht="20.100000000000001" hidden="1" customHeight="1"/>
    <row r="43" spans="15:15" ht="15" hidden="1"/>
    <row r="44" spans="15:15" ht="15" hidden="1"/>
    <row r="45" spans="15:15" ht="15" hidden="1"/>
    <row r="46" spans="15:15" ht="15" hidden="1"/>
    <row r="47" spans="15:15" ht="15" hidden="1"/>
    <row r="48" spans="15:15" ht="15" hidden="1"/>
    <row r="49" ht="15" hidden="1"/>
    <row r="50" ht="15" hidden="1"/>
    <row r="51" ht="15" hidden="1"/>
    <row r="52" ht="15" hidden="1"/>
    <row r="53" ht="15" hidden="1"/>
    <row r="54" ht="15" hidden="1"/>
    <row r="55" ht="15" hidden="1"/>
    <row r="56" ht="15" hidden="1"/>
    <row r="57" ht="15" hidden="1"/>
    <row r="58" ht="15" hidden="1"/>
    <row r="59" ht="15" hidden="1"/>
    <row r="60" ht="15" hidden="1"/>
    <row r="61" ht="15" hidden="1"/>
    <row r="62" ht="15" hidden="1"/>
    <row r="63" ht="15" hidden="1"/>
    <row r="64" ht="15" hidden="1"/>
    <row r="65" ht="15" hidden="1"/>
    <row r="66" ht="15" hidden="1"/>
    <row r="67" ht="15" hidden="1"/>
    <row r="68" ht="15" hidden="1"/>
    <row r="69" ht="15" hidden="1"/>
    <row r="70" ht="15" hidden="1"/>
    <row r="71" ht="15" hidden="1"/>
    <row r="72" ht="15" hidden="1"/>
    <row r="73" ht="15" hidden="1"/>
    <row r="74" ht="15" hidden="1"/>
    <row r="75" ht="15" hidden="1"/>
    <row r="76" ht="15" hidden="1"/>
    <row r="77" ht="15" hidden="1"/>
    <row r="78" ht="15" hidden="1"/>
    <row r="79" ht="15" hidden="1"/>
    <row r="80" ht="15" hidden="1"/>
    <row r="81" ht="15" hidden="1"/>
    <row r="82" ht="15" hidden="1"/>
    <row r="83" ht="15" hidden="1"/>
    <row r="84" ht="15" hidden="1"/>
    <row r="85" ht="15" hidden="1"/>
    <row r="86" ht="15" hidden="1"/>
    <row r="87" ht="15" hidden="1"/>
    <row r="88" ht="15" hidden="1"/>
    <row r="89" ht="15" hidden="1"/>
    <row r="90" ht="15" hidden="1"/>
    <row r="91" ht="15" hidden="1"/>
    <row r="92" ht="15" hidden="1"/>
    <row r="93" ht="15" hidden="1"/>
    <row r="94" ht="15" hidden="1"/>
    <row r="95" ht="15" hidden="1"/>
    <row r="96" ht="20.100000000000001" hidden="1" customHeight="1"/>
    <row r="97" ht="15" hidden="1"/>
    <row r="98" ht="15" hidden="1"/>
    <row r="99" ht="15" hidden="1"/>
    <row r="100" ht="15" hidden="1"/>
    <row r="101" ht="15" hidden="1"/>
    <row r="102" ht="15" hidden="1"/>
    <row r="103" ht="15" hidden="1"/>
    <row r="104" ht="15" hidden="1"/>
    <row r="105" ht="15" hidden="1"/>
    <row r="106" ht="15" hidden="1"/>
    <row r="107" ht="15" hidden="1"/>
    <row r="108" ht="15" hidden="1"/>
    <row r="109" ht="15" hidden="1"/>
    <row r="110" ht="15" hidden="1"/>
    <row r="111" ht="14.25" hidden="1" customHeight="1"/>
    <row r="112" ht="15" hidden="1"/>
    <row r="113" ht="15" hidden="1"/>
    <row r="114" ht="15" hidden="1"/>
    <row r="115" ht="15" hidden="1"/>
    <row r="116" ht="15" hidden="1"/>
    <row r="117" ht="15" hidden="1"/>
    <row r="118" ht="15" hidden="1"/>
    <row r="119" ht="15" hidden="1"/>
    <row r="120" ht="15" hidden="1"/>
    <row r="121" ht="15" hidden="1"/>
    <row r="122" ht="15" hidden="1"/>
    <row r="123" ht="15" hidden="1"/>
    <row r="124" ht="15" hidden="1"/>
    <row r="125" ht="15" hidden="1"/>
    <row r="126" ht="15" hidden="1"/>
    <row r="127" ht="15" hidden="1"/>
    <row r="128" ht="15" hidden="1"/>
    <row r="129" ht="15" hidden="1"/>
    <row r="130" ht="15" hidden="1"/>
    <row r="131" ht="15" hidden="1"/>
    <row r="132" ht="15" hidden="1"/>
    <row r="133" ht="15" hidden="1"/>
    <row r="134" ht="15" hidden="1"/>
    <row r="135" ht="15" hidden="1"/>
    <row r="136" ht="15" hidden="1"/>
    <row r="137" ht="15" hidden="1"/>
    <row r="138" ht="15" hidden="1"/>
    <row r="139" ht="15" hidden="1"/>
    <row r="140" ht="15" hidden="1"/>
    <row r="141" ht="15" hidden="1"/>
    <row r="142" ht="15" hidden="1"/>
    <row r="143" ht="15" hidden="1"/>
    <row r="144" ht="15" hidden="1"/>
    <row r="145" spans="1:37" ht="15" hidden="1"/>
    <row r="146" spans="1:37" ht="15" hidden="1" customHeight="1"/>
    <row r="147" spans="1:37" ht="15" hidden="1" customHeight="1"/>
    <row r="148" spans="1:37" ht="15" hidden="1" customHeight="1"/>
    <row r="149" spans="1:37" ht="15" hidden="1" customHeight="1"/>
    <row r="150" spans="1:37" ht="15" hidden="1" customHeight="1"/>
    <row r="151" spans="1:37" ht="15" hidden="1" customHeight="1"/>
    <row r="152" spans="1:37" ht="20.100000000000001" hidden="1" customHeight="1">
      <c r="AK152" s="65"/>
    </row>
    <row r="153" spans="1:37" ht="20.100000000000001" hidden="1" customHeight="1">
      <c r="AK153" s="65"/>
    </row>
    <row r="154" spans="1:37" ht="15" hidden="1" customHeight="1"/>
    <row r="155" spans="1:37" ht="15" hidden="1" customHeight="1"/>
    <row r="156" spans="1:37" ht="15" hidden="1" customHeight="1"/>
    <row r="157" spans="1:37" s="6" customFormat="1" ht="15" hidden="1" customHeight="1">
      <c r="A157" s="106"/>
      <c r="B157" s="106"/>
      <c r="C157" s="106"/>
      <c r="D157" s="106"/>
      <c r="E157" s="106"/>
      <c r="F157" s="106"/>
      <c r="G157" s="106"/>
      <c r="H157" s="106"/>
      <c r="I157" s="106"/>
      <c r="J157" s="106"/>
      <c r="K157" s="106"/>
      <c r="L157" s="106"/>
      <c r="M157" s="106"/>
      <c r="N157" s="106"/>
      <c r="O157" s="106"/>
      <c r="P157" s="106"/>
      <c r="Q157" s="106"/>
      <c r="R157" s="106"/>
      <c r="S157" s="106"/>
      <c r="T157" s="106"/>
      <c r="U157" s="106"/>
      <c r="V157" s="106"/>
      <c r="W157" s="106"/>
      <c r="X157" s="106"/>
      <c r="Y157" s="106"/>
      <c r="Z157" s="106"/>
      <c r="AA157" s="106"/>
      <c r="AB157" s="106"/>
      <c r="AC157" s="106"/>
      <c r="AD157" s="106"/>
      <c r="AE157" s="106"/>
      <c r="AF157" s="106"/>
      <c r="AG157" s="106"/>
      <c r="AH157" s="106"/>
      <c r="AI157" s="106"/>
      <c r="AJ157" s="106"/>
    </row>
    <row r="158" spans="1:37" s="6" customFormat="1" ht="15" hidden="1" customHeight="1">
      <c r="A158" s="106"/>
      <c r="B158" s="106"/>
      <c r="C158" s="106"/>
      <c r="D158" s="106"/>
      <c r="E158" s="106"/>
      <c r="F158" s="106"/>
      <c r="G158" s="106"/>
      <c r="H158" s="106"/>
      <c r="I158" s="106"/>
      <c r="J158" s="106"/>
      <c r="K158" s="106"/>
      <c r="L158" s="106"/>
      <c r="M158" s="106"/>
      <c r="N158" s="106"/>
      <c r="O158" s="106"/>
      <c r="P158" s="106"/>
      <c r="Q158" s="106"/>
      <c r="R158" s="106"/>
      <c r="S158" s="106"/>
      <c r="T158" s="106"/>
      <c r="U158" s="106"/>
      <c r="V158" s="106"/>
      <c r="W158" s="106"/>
      <c r="X158" s="106"/>
      <c r="Y158" s="106"/>
      <c r="Z158" s="106"/>
      <c r="AA158" s="106"/>
      <c r="AB158" s="106"/>
      <c r="AC158" s="106"/>
      <c r="AD158" s="106"/>
      <c r="AE158" s="106"/>
      <c r="AF158" s="106"/>
      <c r="AG158" s="106"/>
      <c r="AH158" s="106"/>
      <c r="AI158" s="106"/>
      <c r="AJ158" s="106"/>
    </row>
    <row r="159" spans="1:37" s="6" customFormat="1" ht="15" hidden="1" customHeight="1">
      <c r="A159" s="106"/>
      <c r="B159" s="106"/>
      <c r="C159" s="106"/>
      <c r="D159" s="106"/>
      <c r="E159" s="106"/>
      <c r="F159" s="106"/>
      <c r="G159" s="106"/>
      <c r="H159" s="106"/>
      <c r="I159" s="106"/>
      <c r="J159" s="106"/>
      <c r="K159" s="106"/>
      <c r="L159" s="106"/>
      <c r="M159" s="106"/>
      <c r="N159" s="106"/>
      <c r="O159" s="106"/>
      <c r="P159" s="106"/>
      <c r="Q159" s="106"/>
      <c r="R159" s="106"/>
      <c r="S159" s="106"/>
      <c r="T159" s="106"/>
      <c r="U159" s="106"/>
      <c r="V159" s="106"/>
      <c r="W159" s="106"/>
      <c r="X159" s="106"/>
      <c r="Y159" s="106"/>
      <c r="Z159" s="106"/>
      <c r="AA159" s="106"/>
      <c r="AB159" s="106"/>
      <c r="AC159" s="106"/>
      <c r="AD159" s="106"/>
      <c r="AE159" s="106"/>
      <c r="AF159" s="106"/>
      <c r="AG159" s="106"/>
      <c r="AH159" s="106"/>
      <c r="AI159" s="106"/>
      <c r="AJ159" s="106"/>
    </row>
    <row r="160" spans="1:37" ht="15" hidden="1" customHeight="1"/>
    <row r="161" spans="1:36" ht="15" hidden="1" customHeight="1"/>
    <row r="162" spans="1:36" s="6" customFormat="1" ht="15" hidden="1" customHeight="1">
      <c r="A162" s="106"/>
      <c r="B162" s="106"/>
      <c r="C162" s="106"/>
      <c r="D162" s="106"/>
      <c r="E162" s="106"/>
      <c r="F162" s="106"/>
      <c r="G162" s="106"/>
      <c r="H162" s="106"/>
      <c r="I162" s="106"/>
      <c r="J162" s="106"/>
      <c r="K162" s="106"/>
      <c r="L162" s="106"/>
      <c r="M162" s="106"/>
      <c r="N162" s="106"/>
      <c r="O162" s="106"/>
      <c r="P162" s="106"/>
      <c r="Q162" s="106"/>
      <c r="R162" s="106"/>
      <c r="S162" s="106"/>
      <c r="T162" s="106"/>
      <c r="U162" s="106"/>
      <c r="V162" s="106"/>
      <c r="W162" s="106"/>
      <c r="X162" s="106"/>
      <c r="Y162" s="106"/>
      <c r="Z162" s="106"/>
      <c r="AA162" s="106"/>
      <c r="AB162" s="106"/>
      <c r="AC162" s="106"/>
      <c r="AD162" s="106"/>
      <c r="AE162" s="106"/>
      <c r="AF162" s="106"/>
      <c r="AG162" s="106"/>
      <c r="AH162" s="106"/>
      <c r="AI162" s="106"/>
      <c r="AJ162" s="106"/>
    </row>
    <row r="163" spans="1:36" s="6" customFormat="1" ht="15" hidden="1" customHeight="1">
      <c r="A163" s="106"/>
      <c r="B163" s="106"/>
      <c r="C163" s="106"/>
      <c r="D163" s="106"/>
      <c r="E163" s="106"/>
      <c r="F163" s="106"/>
      <c r="G163" s="106"/>
      <c r="H163" s="106"/>
      <c r="I163" s="106"/>
      <c r="J163" s="106"/>
      <c r="K163" s="106"/>
      <c r="L163" s="106"/>
      <c r="M163" s="106"/>
      <c r="N163" s="106"/>
      <c r="O163" s="106"/>
      <c r="P163" s="106"/>
      <c r="Q163" s="106"/>
      <c r="R163" s="106"/>
      <c r="S163" s="106"/>
      <c r="T163" s="106"/>
      <c r="U163" s="106"/>
      <c r="V163" s="106"/>
      <c r="W163" s="106"/>
      <c r="X163" s="106"/>
      <c r="Y163" s="106"/>
      <c r="Z163" s="106"/>
      <c r="AA163" s="106"/>
      <c r="AB163" s="106"/>
      <c r="AC163" s="106"/>
      <c r="AD163" s="106"/>
      <c r="AE163" s="106"/>
      <c r="AF163" s="106"/>
      <c r="AG163" s="106"/>
      <c r="AH163" s="106"/>
      <c r="AI163" s="106"/>
      <c r="AJ163" s="106"/>
    </row>
    <row r="164" spans="1:36" s="6" customFormat="1" ht="15" hidden="1" customHeight="1">
      <c r="A164" s="106"/>
      <c r="B164" s="106"/>
      <c r="C164" s="106"/>
      <c r="D164" s="106"/>
      <c r="E164" s="106"/>
      <c r="F164" s="106"/>
      <c r="G164" s="106"/>
      <c r="H164" s="106"/>
      <c r="I164" s="106"/>
      <c r="J164" s="106"/>
      <c r="K164" s="106"/>
      <c r="L164" s="106"/>
      <c r="M164" s="106"/>
      <c r="N164" s="106"/>
      <c r="O164" s="106"/>
      <c r="P164" s="106"/>
      <c r="Q164" s="106"/>
      <c r="R164" s="106"/>
      <c r="S164" s="106"/>
      <c r="T164" s="106"/>
      <c r="U164" s="106"/>
      <c r="V164" s="106"/>
      <c r="W164" s="106"/>
      <c r="X164" s="106"/>
      <c r="Y164" s="106"/>
      <c r="Z164" s="106"/>
      <c r="AA164" s="106"/>
      <c r="AB164" s="106"/>
      <c r="AC164" s="106"/>
      <c r="AD164" s="106"/>
      <c r="AE164" s="106"/>
      <c r="AF164" s="106"/>
      <c r="AG164" s="106"/>
      <c r="AH164" s="106"/>
      <c r="AI164" s="106"/>
      <c r="AJ164" s="106"/>
    </row>
    <row r="165" spans="1:36" s="6" customFormat="1" ht="15" hidden="1" customHeight="1">
      <c r="A165" s="106"/>
      <c r="B165" s="106"/>
      <c r="C165" s="106"/>
      <c r="D165" s="106"/>
      <c r="E165" s="106"/>
      <c r="F165" s="106"/>
      <c r="G165" s="106"/>
      <c r="H165" s="106"/>
      <c r="I165" s="106"/>
      <c r="J165" s="106"/>
      <c r="K165" s="106"/>
      <c r="L165" s="106"/>
      <c r="M165" s="106"/>
      <c r="N165" s="106"/>
      <c r="O165" s="106"/>
      <c r="P165" s="106"/>
      <c r="Q165" s="106"/>
      <c r="R165" s="106"/>
      <c r="S165" s="106"/>
      <c r="T165" s="106"/>
      <c r="U165" s="106"/>
      <c r="V165" s="106"/>
      <c r="W165" s="106"/>
      <c r="X165" s="106"/>
      <c r="Y165" s="106"/>
      <c r="Z165" s="106"/>
      <c r="AA165" s="106"/>
      <c r="AB165" s="106"/>
      <c r="AC165" s="106"/>
      <c r="AD165" s="106"/>
      <c r="AE165" s="106"/>
      <c r="AF165" s="106"/>
      <c r="AG165" s="106"/>
      <c r="AH165" s="106"/>
      <c r="AI165" s="106"/>
      <c r="AJ165" s="106"/>
    </row>
    <row r="166" spans="1:36" s="6" customFormat="1" ht="15" hidden="1" customHeight="1">
      <c r="A166" s="106"/>
      <c r="B166" s="106"/>
      <c r="C166" s="106"/>
      <c r="D166" s="106"/>
      <c r="E166" s="106"/>
      <c r="F166" s="106"/>
      <c r="G166" s="106"/>
      <c r="H166" s="106"/>
      <c r="I166" s="106"/>
      <c r="J166" s="106"/>
      <c r="K166" s="106"/>
      <c r="L166" s="106"/>
      <c r="M166" s="106"/>
      <c r="N166" s="106"/>
      <c r="O166" s="106"/>
      <c r="P166" s="106"/>
      <c r="Q166" s="106"/>
      <c r="R166" s="106"/>
      <c r="S166" s="106"/>
      <c r="T166" s="106"/>
      <c r="U166" s="106"/>
      <c r="V166" s="106"/>
      <c r="W166" s="106"/>
      <c r="X166" s="106"/>
      <c r="Y166" s="106"/>
      <c r="Z166" s="106"/>
      <c r="AA166" s="106"/>
      <c r="AB166" s="106"/>
      <c r="AC166" s="106"/>
      <c r="AD166" s="106"/>
      <c r="AE166" s="106"/>
      <c r="AF166" s="106"/>
      <c r="AG166" s="106"/>
      <c r="AH166" s="106"/>
      <c r="AI166" s="106"/>
      <c r="AJ166" s="106"/>
    </row>
    <row r="167" spans="1:36" ht="15" hidden="1" customHeight="1"/>
    <row r="168" spans="1:36" ht="15" hidden="1" customHeight="1"/>
    <row r="169" spans="1:36" s="6" customFormat="1" ht="15" hidden="1" customHeight="1">
      <c r="A169" s="106"/>
      <c r="B169" s="106"/>
      <c r="C169" s="106"/>
      <c r="D169" s="106"/>
      <c r="E169" s="106"/>
      <c r="F169" s="106"/>
      <c r="G169" s="106"/>
      <c r="H169" s="106"/>
      <c r="I169" s="106"/>
      <c r="J169" s="106"/>
      <c r="K169" s="106"/>
      <c r="L169" s="106"/>
      <c r="M169" s="106"/>
      <c r="N169" s="106"/>
      <c r="O169" s="106"/>
      <c r="P169" s="106"/>
      <c r="Q169" s="106"/>
      <c r="R169" s="106"/>
      <c r="S169" s="106"/>
      <c r="T169" s="106"/>
      <c r="U169" s="106"/>
      <c r="V169" s="106"/>
      <c r="W169" s="106"/>
      <c r="X169" s="106"/>
      <c r="Y169" s="106"/>
      <c r="Z169" s="106"/>
      <c r="AA169" s="106"/>
      <c r="AB169" s="106"/>
      <c r="AC169" s="106"/>
      <c r="AD169" s="106"/>
      <c r="AE169" s="106"/>
      <c r="AF169" s="106"/>
      <c r="AG169" s="106"/>
      <c r="AH169" s="106"/>
      <c r="AI169" s="106"/>
      <c r="AJ169" s="106"/>
    </row>
    <row r="170" spans="1:36" s="6" customFormat="1" ht="15" hidden="1" customHeight="1">
      <c r="A170" s="106"/>
      <c r="B170" s="106"/>
      <c r="C170" s="106"/>
      <c r="D170" s="106"/>
      <c r="E170" s="106"/>
      <c r="F170" s="106"/>
      <c r="G170" s="106"/>
      <c r="H170" s="106"/>
      <c r="I170" s="106"/>
      <c r="J170" s="106"/>
      <c r="K170" s="106"/>
      <c r="L170" s="106"/>
      <c r="M170" s="106"/>
      <c r="N170" s="106"/>
      <c r="O170" s="106"/>
      <c r="P170" s="106"/>
      <c r="Q170" s="106"/>
      <c r="R170" s="106"/>
      <c r="S170" s="106"/>
      <c r="T170" s="106"/>
      <c r="U170" s="106"/>
      <c r="V170" s="106"/>
      <c r="W170" s="106"/>
      <c r="X170" s="106"/>
      <c r="Y170" s="106"/>
      <c r="Z170" s="106"/>
      <c r="AA170" s="106"/>
      <c r="AB170" s="106"/>
      <c r="AC170" s="106"/>
      <c r="AD170" s="106"/>
      <c r="AE170" s="106"/>
      <c r="AF170" s="106"/>
      <c r="AG170" s="106"/>
      <c r="AH170" s="106"/>
      <c r="AI170" s="106"/>
      <c r="AJ170" s="106"/>
    </row>
    <row r="171" spans="1:36" s="6" customFormat="1" ht="15" hidden="1" customHeight="1">
      <c r="A171" s="106"/>
      <c r="B171" s="106"/>
      <c r="C171" s="106"/>
      <c r="D171" s="106"/>
      <c r="E171" s="106"/>
      <c r="F171" s="106"/>
      <c r="G171" s="106"/>
      <c r="H171" s="106"/>
      <c r="I171" s="106"/>
      <c r="J171" s="106"/>
      <c r="K171" s="106"/>
      <c r="L171" s="106"/>
      <c r="M171" s="106"/>
      <c r="N171" s="106"/>
      <c r="O171" s="106"/>
      <c r="P171" s="106"/>
      <c r="Q171" s="106"/>
      <c r="R171" s="106"/>
      <c r="S171" s="106"/>
      <c r="T171" s="106"/>
      <c r="U171" s="106"/>
      <c r="V171" s="106"/>
      <c r="W171" s="106"/>
      <c r="X171" s="106"/>
      <c r="Y171" s="106"/>
      <c r="Z171" s="106"/>
      <c r="AA171" s="106"/>
      <c r="AB171" s="106"/>
      <c r="AC171" s="106"/>
      <c r="AD171" s="106"/>
      <c r="AE171" s="106"/>
      <c r="AF171" s="106"/>
      <c r="AG171" s="106"/>
      <c r="AH171" s="106"/>
      <c r="AI171" s="106"/>
      <c r="AJ171" s="106"/>
    </row>
    <row r="172" spans="1:36" s="6" customFormat="1" ht="15" hidden="1" customHeight="1">
      <c r="A172" s="106"/>
      <c r="B172" s="106"/>
      <c r="C172" s="106"/>
      <c r="D172" s="106"/>
      <c r="E172" s="106"/>
      <c r="F172" s="106"/>
      <c r="G172" s="106"/>
      <c r="H172" s="106"/>
      <c r="I172" s="106"/>
      <c r="J172" s="106"/>
      <c r="K172" s="106"/>
      <c r="L172" s="106"/>
      <c r="M172" s="106"/>
      <c r="N172" s="106"/>
      <c r="O172" s="106"/>
      <c r="P172" s="106"/>
      <c r="Q172" s="106"/>
      <c r="R172" s="106"/>
      <c r="S172" s="106"/>
      <c r="T172" s="106"/>
      <c r="U172" s="106"/>
      <c r="V172" s="106"/>
      <c r="W172" s="106"/>
      <c r="X172" s="106"/>
      <c r="Y172" s="106"/>
      <c r="Z172" s="106"/>
      <c r="AA172" s="106"/>
      <c r="AB172" s="106"/>
      <c r="AC172" s="106"/>
      <c r="AD172" s="106"/>
      <c r="AE172" s="106"/>
      <c r="AF172" s="106"/>
      <c r="AG172" s="106"/>
      <c r="AH172" s="106"/>
      <c r="AI172" s="106"/>
      <c r="AJ172" s="106"/>
    </row>
    <row r="173" spans="1:36" s="6" customFormat="1" ht="15" hidden="1" customHeight="1">
      <c r="A173" s="106"/>
      <c r="B173" s="106"/>
      <c r="C173" s="106"/>
      <c r="D173" s="106"/>
      <c r="E173" s="106"/>
      <c r="F173" s="106"/>
      <c r="G173" s="106"/>
      <c r="H173" s="106"/>
      <c r="I173" s="106"/>
      <c r="J173" s="106"/>
      <c r="K173" s="106"/>
      <c r="L173" s="106"/>
      <c r="M173" s="106"/>
      <c r="N173" s="106"/>
      <c r="O173" s="106"/>
      <c r="P173" s="106"/>
      <c r="Q173" s="106"/>
      <c r="R173" s="106"/>
      <c r="S173" s="106"/>
      <c r="T173" s="106"/>
      <c r="U173" s="106"/>
      <c r="V173" s="106"/>
      <c r="W173" s="106"/>
      <c r="X173" s="106"/>
      <c r="Y173" s="106"/>
      <c r="Z173" s="106"/>
      <c r="AA173" s="106"/>
      <c r="AB173" s="106"/>
      <c r="AC173" s="106"/>
      <c r="AD173" s="106"/>
      <c r="AE173" s="106"/>
      <c r="AF173" s="106"/>
      <c r="AG173" s="106"/>
      <c r="AH173" s="106"/>
      <c r="AI173" s="106"/>
      <c r="AJ173" s="106"/>
    </row>
    <row r="174" spans="1:36" s="6" customFormat="1" ht="15" hidden="1" customHeight="1">
      <c r="A174" s="106"/>
      <c r="B174" s="106"/>
      <c r="C174" s="106"/>
      <c r="D174" s="106"/>
      <c r="E174" s="106"/>
      <c r="F174" s="106"/>
      <c r="G174" s="106"/>
      <c r="H174" s="106"/>
      <c r="I174" s="106"/>
      <c r="J174" s="106"/>
      <c r="K174" s="106"/>
      <c r="L174" s="106"/>
      <c r="M174" s="106"/>
      <c r="N174" s="106"/>
      <c r="O174" s="106"/>
      <c r="P174" s="106"/>
      <c r="Q174" s="106"/>
      <c r="R174" s="106"/>
      <c r="S174" s="106"/>
      <c r="T174" s="106"/>
      <c r="U174" s="106"/>
      <c r="V174" s="106"/>
      <c r="W174" s="106"/>
      <c r="X174" s="106"/>
      <c r="Y174" s="106"/>
      <c r="Z174" s="106"/>
      <c r="AA174" s="106"/>
      <c r="AB174" s="106"/>
      <c r="AC174" s="106"/>
      <c r="AD174" s="106"/>
      <c r="AE174" s="106"/>
      <c r="AF174" s="106"/>
      <c r="AG174" s="106"/>
      <c r="AH174" s="106"/>
      <c r="AI174" s="106"/>
      <c r="AJ174" s="106"/>
    </row>
    <row r="175" spans="1:36" ht="15" hidden="1" customHeight="1"/>
    <row r="176" spans="1:36" ht="15" hidden="1" customHeight="1"/>
    <row r="177" spans="1:36" ht="15" hidden="1" customHeight="1"/>
    <row r="178" spans="1:36" s="6" customFormat="1" ht="15" hidden="1" customHeight="1">
      <c r="A178" s="106"/>
      <c r="B178" s="106"/>
      <c r="C178" s="106"/>
      <c r="D178" s="106"/>
      <c r="E178" s="106"/>
      <c r="F178" s="106"/>
      <c r="G178" s="106"/>
      <c r="H178" s="106"/>
      <c r="I178" s="106"/>
      <c r="J178" s="106"/>
      <c r="K178" s="106"/>
      <c r="L178" s="106"/>
      <c r="M178" s="106"/>
      <c r="N178" s="106"/>
      <c r="O178" s="106"/>
      <c r="P178" s="106"/>
      <c r="Q178" s="106"/>
      <c r="R178" s="106"/>
      <c r="S178" s="106"/>
      <c r="T178" s="106"/>
      <c r="U178" s="106"/>
      <c r="V178" s="106"/>
      <c r="W178" s="106"/>
      <c r="X178" s="106"/>
      <c r="Y178" s="106"/>
      <c r="Z178" s="106"/>
      <c r="AA178" s="106"/>
      <c r="AB178" s="106"/>
      <c r="AC178" s="106"/>
      <c r="AD178" s="106"/>
      <c r="AE178" s="106"/>
      <c r="AF178" s="106"/>
      <c r="AG178" s="106"/>
      <c r="AH178" s="106"/>
      <c r="AI178" s="106"/>
      <c r="AJ178" s="106"/>
    </row>
    <row r="179" spans="1:36" s="6" customFormat="1" ht="15" hidden="1" customHeight="1">
      <c r="A179" s="106"/>
      <c r="B179" s="106"/>
      <c r="C179" s="106"/>
      <c r="D179" s="106"/>
      <c r="E179" s="106"/>
      <c r="F179" s="106"/>
      <c r="G179" s="106"/>
      <c r="H179" s="106"/>
      <c r="I179" s="106"/>
      <c r="J179" s="106"/>
      <c r="K179" s="106"/>
      <c r="L179" s="106"/>
      <c r="M179" s="106"/>
      <c r="N179" s="106"/>
      <c r="O179" s="106"/>
      <c r="P179" s="106"/>
      <c r="Q179" s="106"/>
      <c r="R179" s="106"/>
      <c r="S179" s="106"/>
      <c r="T179" s="106"/>
      <c r="U179" s="106"/>
      <c r="V179" s="106"/>
      <c r="W179" s="106"/>
      <c r="X179" s="106"/>
      <c r="Y179" s="106"/>
      <c r="Z179" s="106"/>
      <c r="AA179" s="106"/>
      <c r="AB179" s="106"/>
      <c r="AC179" s="106"/>
      <c r="AD179" s="106"/>
      <c r="AE179" s="106"/>
      <c r="AF179" s="106"/>
      <c r="AG179" s="106"/>
      <c r="AH179" s="106"/>
      <c r="AI179" s="106"/>
      <c r="AJ179" s="106"/>
    </row>
    <row r="180" spans="1:36" s="6" customFormat="1" ht="15" hidden="1" customHeight="1">
      <c r="A180" s="106"/>
      <c r="B180" s="106"/>
      <c r="C180" s="106"/>
      <c r="D180" s="106"/>
      <c r="E180" s="106"/>
      <c r="F180" s="106"/>
      <c r="G180" s="106"/>
      <c r="H180" s="106"/>
      <c r="I180" s="106"/>
      <c r="J180" s="106"/>
      <c r="K180" s="106"/>
      <c r="L180" s="106"/>
      <c r="M180" s="106"/>
      <c r="N180" s="106"/>
      <c r="O180" s="106"/>
      <c r="P180" s="106"/>
      <c r="Q180" s="106"/>
      <c r="R180" s="106"/>
      <c r="S180" s="106"/>
      <c r="T180" s="106"/>
      <c r="U180" s="106"/>
      <c r="V180" s="106"/>
      <c r="W180" s="106"/>
      <c r="X180" s="106"/>
      <c r="Y180" s="106"/>
      <c r="Z180" s="106"/>
      <c r="AA180" s="106"/>
      <c r="AB180" s="106"/>
      <c r="AC180" s="106"/>
      <c r="AD180" s="106"/>
      <c r="AE180" s="106"/>
      <c r="AF180" s="106"/>
      <c r="AG180" s="106"/>
      <c r="AH180" s="106"/>
      <c r="AI180" s="106"/>
      <c r="AJ180" s="106"/>
    </row>
    <row r="181" spans="1:36" s="6" customFormat="1" ht="15" hidden="1" customHeight="1">
      <c r="A181" s="106"/>
      <c r="B181" s="106"/>
      <c r="C181" s="106"/>
      <c r="D181" s="106"/>
      <c r="E181" s="106"/>
      <c r="F181" s="106"/>
      <c r="G181" s="106"/>
      <c r="H181" s="106"/>
      <c r="I181" s="106"/>
      <c r="J181" s="106"/>
      <c r="K181" s="106"/>
      <c r="L181" s="106"/>
      <c r="M181" s="106"/>
      <c r="N181" s="106"/>
      <c r="O181" s="106"/>
      <c r="P181" s="106"/>
      <c r="Q181" s="106"/>
      <c r="R181" s="106"/>
      <c r="S181" s="106"/>
      <c r="T181" s="106"/>
      <c r="U181" s="106"/>
      <c r="V181" s="106"/>
      <c r="W181" s="106"/>
      <c r="X181" s="106"/>
      <c r="Y181" s="106"/>
      <c r="Z181" s="106"/>
      <c r="AA181" s="106"/>
      <c r="AB181" s="106"/>
      <c r="AC181" s="106"/>
      <c r="AD181" s="106"/>
      <c r="AE181" s="106"/>
      <c r="AF181" s="106"/>
      <c r="AG181" s="106"/>
      <c r="AH181" s="106"/>
      <c r="AI181" s="106"/>
      <c r="AJ181" s="106"/>
    </row>
    <row r="182" spans="1:36" s="6" customFormat="1" ht="15" hidden="1" customHeight="1">
      <c r="A182" s="106"/>
      <c r="B182" s="106"/>
      <c r="C182" s="106"/>
      <c r="D182" s="106"/>
      <c r="E182" s="106"/>
      <c r="F182" s="106"/>
      <c r="G182" s="106"/>
      <c r="H182" s="106"/>
      <c r="I182" s="106"/>
      <c r="J182" s="106"/>
      <c r="K182" s="106"/>
      <c r="L182" s="106"/>
      <c r="M182" s="106"/>
      <c r="N182" s="106"/>
      <c r="O182" s="106"/>
      <c r="P182" s="106"/>
      <c r="Q182" s="106"/>
      <c r="R182" s="106"/>
      <c r="S182" s="106"/>
      <c r="T182" s="106"/>
      <c r="U182" s="106"/>
      <c r="V182" s="106"/>
      <c r="W182" s="106"/>
      <c r="X182" s="106"/>
      <c r="Y182" s="106"/>
      <c r="Z182" s="106"/>
      <c r="AA182" s="106"/>
      <c r="AB182" s="106"/>
      <c r="AC182" s="106"/>
      <c r="AD182" s="106"/>
      <c r="AE182" s="106"/>
      <c r="AF182" s="106"/>
      <c r="AG182" s="106"/>
      <c r="AH182" s="106"/>
      <c r="AI182" s="106"/>
      <c r="AJ182" s="106"/>
    </row>
    <row r="183" spans="1:36" s="6" customFormat="1" ht="15" hidden="1" customHeight="1">
      <c r="A183" s="106"/>
      <c r="B183" s="106"/>
      <c r="C183" s="106"/>
      <c r="D183" s="106"/>
      <c r="E183" s="106"/>
      <c r="F183" s="106"/>
      <c r="G183" s="106"/>
      <c r="H183" s="106"/>
      <c r="I183" s="106"/>
      <c r="J183" s="106"/>
      <c r="K183" s="106"/>
      <c r="L183" s="106"/>
      <c r="M183" s="106"/>
      <c r="N183" s="106"/>
      <c r="O183" s="106"/>
      <c r="P183" s="106"/>
      <c r="Q183" s="106"/>
      <c r="R183" s="106"/>
      <c r="S183" s="106"/>
      <c r="T183" s="106"/>
      <c r="U183" s="106"/>
      <c r="V183" s="106"/>
      <c r="W183" s="106"/>
      <c r="X183" s="106"/>
      <c r="Y183" s="106"/>
      <c r="Z183" s="106"/>
      <c r="AA183" s="106"/>
      <c r="AB183" s="106"/>
      <c r="AC183" s="106"/>
      <c r="AD183" s="106"/>
      <c r="AE183" s="106"/>
      <c r="AF183" s="106"/>
      <c r="AG183" s="106"/>
      <c r="AH183" s="106"/>
      <c r="AI183" s="106"/>
      <c r="AJ183" s="106"/>
    </row>
    <row r="184" spans="1:36" s="6" customFormat="1" ht="15" hidden="1" customHeight="1">
      <c r="A184" s="106"/>
      <c r="B184" s="106"/>
      <c r="C184" s="106"/>
      <c r="D184" s="106"/>
      <c r="E184" s="106"/>
      <c r="F184" s="106"/>
      <c r="G184" s="106"/>
      <c r="H184" s="106"/>
      <c r="I184" s="106"/>
      <c r="J184" s="106"/>
      <c r="K184" s="106"/>
      <c r="L184" s="106"/>
      <c r="M184" s="106"/>
      <c r="N184" s="106"/>
      <c r="O184" s="106"/>
      <c r="P184" s="106"/>
      <c r="Q184" s="106"/>
      <c r="R184" s="106"/>
      <c r="S184" s="106"/>
      <c r="T184" s="106"/>
      <c r="U184" s="106"/>
      <c r="V184" s="106"/>
      <c r="W184" s="106"/>
      <c r="X184" s="106"/>
      <c r="Y184" s="106"/>
      <c r="Z184" s="106"/>
      <c r="AA184" s="106"/>
      <c r="AB184" s="106"/>
      <c r="AC184" s="106"/>
      <c r="AD184" s="106"/>
      <c r="AE184" s="106"/>
      <c r="AF184" s="106"/>
      <c r="AG184" s="106"/>
      <c r="AH184" s="106"/>
      <c r="AI184" s="106"/>
      <c r="AJ184" s="106"/>
    </row>
    <row r="185" spans="1:36" s="6" customFormat="1" ht="15" hidden="1" customHeight="1">
      <c r="A185" s="106"/>
      <c r="B185" s="106"/>
      <c r="C185" s="106"/>
      <c r="D185" s="106"/>
      <c r="E185" s="106"/>
      <c r="F185" s="106"/>
      <c r="G185" s="106"/>
      <c r="H185" s="106"/>
      <c r="I185" s="106"/>
      <c r="J185" s="106"/>
      <c r="K185" s="106"/>
      <c r="L185" s="106"/>
      <c r="M185" s="106"/>
      <c r="N185" s="106"/>
      <c r="O185" s="106"/>
      <c r="P185" s="106"/>
      <c r="Q185" s="106"/>
      <c r="R185" s="106"/>
      <c r="S185" s="106"/>
      <c r="T185" s="106"/>
      <c r="U185" s="106"/>
      <c r="V185" s="106"/>
      <c r="W185" s="106"/>
      <c r="X185" s="106"/>
      <c r="Y185" s="106"/>
      <c r="Z185" s="106"/>
      <c r="AA185" s="106"/>
      <c r="AB185" s="106"/>
      <c r="AC185" s="106"/>
      <c r="AD185" s="106"/>
      <c r="AE185" s="106"/>
      <c r="AF185" s="106"/>
      <c r="AG185" s="106"/>
      <c r="AH185" s="106"/>
      <c r="AI185" s="106"/>
      <c r="AJ185" s="106"/>
    </row>
    <row r="186" spans="1:36" s="6" customFormat="1" ht="15" hidden="1" customHeight="1">
      <c r="A186" s="106"/>
      <c r="B186" s="106"/>
      <c r="C186" s="106"/>
      <c r="D186" s="106"/>
      <c r="E186" s="106"/>
      <c r="F186" s="106"/>
      <c r="G186" s="106"/>
      <c r="H186" s="106"/>
      <c r="I186" s="106"/>
      <c r="J186" s="106"/>
      <c r="K186" s="106"/>
      <c r="L186" s="106"/>
      <c r="M186" s="106"/>
      <c r="N186" s="106"/>
      <c r="O186" s="106"/>
      <c r="P186" s="106"/>
      <c r="Q186" s="106"/>
      <c r="R186" s="106"/>
      <c r="S186" s="106"/>
      <c r="T186" s="106"/>
      <c r="U186" s="106"/>
      <c r="V186" s="106"/>
      <c r="W186" s="106"/>
      <c r="X186" s="106"/>
      <c r="Y186" s="106"/>
      <c r="Z186" s="106"/>
      <c r="AA186" s="106"/>
      <c r="AB186" s="106"/>
      <c r="AC186" s="106"/>
      <c r="AD186" s="106"/>
      <c r="AE186" s="106"/>
      <c r="AF186" s="106"/>
      <c r="AG186" s="106"/>
      <c r="AH186" s="106"/>
      <c r="AI186" s="106"/>
      <c r="AJ186" s="106"/>
    </row>
    <row r="187" spans="1:36" s="6" customFormat="1" ht="15" hidden="1" customHeight="1">
      <c r="A187" s="106"/>
      <c r="B187" s="106"/>
      <c r="C187" s="106"/>
      <c r="D187" s="106"/>
      <c r="E187" s="106"/>
      <c r="F187" s="106"/>
      <c r="G187" s="106"/>
      <c r="H187" s="106"/>
      <c r="I187" s="106"/>
      <c r="J187" s="106"/>
      <c r="K187" s="106"/>
      <c r="L187" s="106"/>
      <c r="M187" s="106"/>
      <c r="N187" s="106"/>
      <c r="O187" s="106"/>
      <c r="P187" s="106"/>
      <c r="Q187" s="106"/>
      <c r="R187" s="106"/>
      <c r="S187" s="106"/>
      <c r="T187" s="106"/>
      <c r="U187" s="106"/>
      <c r="V187" s="106"/>
      <c r="W187" s="106"/>
      <c r="X187" s="106"/>
      <c r="Y187" s="106"/>
      <c r="Z187" s="106"/>
      <c r="AA187" s="106"/>
      <c r="AB187" s="106"/>
      <c r="AC187" s="106"/>
      <c r="AD187" s="106"/>
      <c r="AE187" s="106"/>
      <c r="AF187" s="106"/>
      <c r="AG187" s="106"/>
      <c r="AH187" s="106"/>
      <c r="AI187" s="106"/>
      <c r="AJ187" s="106"/>
    </row>
    <row r="188" spans="1:36" s="6" customFormat="1" ht="15" hidden="1" customHeight="1">
      <c r="A188" s="106"/>
      <c r="B188" s="106"/>
      <c r="C188" s="106"/>
      <c r="D188" s="106"/>
      <c r="E188" s="106"/>
      <c r="F188" s="106"/>
      <c r="G188" s="106"/>
      <c r="H188" s="106"/>
      <c r="I188" s="106"/>
      <c r="J188" s="106"/>
      <c r="K188" s="106"/>
      <c r="L188" s="106"/>
      <c r="M188" s="106"/>
      <c r="N188" s="106"/>
      <c r="O188" s="106"/>
      <c r="P188" s="106"/>
      <c r="Q188" s="106"/>
      <c r="R188" s="106"/>
      <c r="S188" s="106"/>
      <c r="T188" s="106"/>
      <c r="U188" s="106"/>
      <c r="V188" s="106"/>
      <c r="W188" s="106"/>
      <c r="X188" s="106"/>
      <c r="Y188" s="106"/>
      <c r="Z188" s="106"/>
      <c r="AA188" s="106"/>
      <c r="AB188" s="106"/>
      <c r="AC188" s="106"/>
      <c r="AD188" s="106"/>
      <c r="AE188" s="106"/>
      <c r="AF188" s="106"/>
      <c r="AG188" s="106"/>
      <c r="AH188" s="106"/>
      <c r="AI188" s="106"/>
      <c r="AJ188" s="106"/>
    </row>
    <row r="189" spans="1:36" s="6" customFormat="1" ht="15" hidden="1" customHeight="1">
      <c r="A189" s="106"/>
      <c r="B189" s="106"/>
      <c r="C189" s="106"/>
      <c r="D189" s="106"/>
      <c r="E189" s="106"/>
      <c r="F189" s="106"/>
      <c r="G189" s="106"/>
      <c r="H189" s="106"/>
      <c r="I189" s="106"/>
      <c r="J189" s="106"/>
      <c r="K189" s="106"/>
      <c r="L189" s="106"/>
      <c r="M189" s="106"/>
      <c r="N189" s="106"/>
      <c r="O189" s="106"/>
      <c r="P189" s="106"/>
      <c r="Q189" s="106"/>
      <c r="R189" s="106"/>
      <c r="S189" s="106"/>
      <c r="T189" s="106"/>
      <c r="U189" s="106"/>
      <c r="V189" s="106"/>
      <c r="W189" s="106"/>
      <c r="X189" s="106"/>
      <c r="Y189" s="106"/>
      <c r="Z189" s="106"/>
      <c r="AA189" s="106"/>
      <c r="AB189" s="106"/>
      <c r="AC189" s="106"/>
      <c r="AD189" s="106"/>
      <c r="AE189" s="106"/>
      <c r="AF189" s="106"/>
      <c r="AG189" s="106"/>
      <c r="AH189" s="106"/>
      <c r="AI189" s="106"/>
      <c r="AJ189" s="106"/>
    </row>
    <row r="190" spans="1:36" s="6" customFormat="1" ht="15" hidden="1" customHeight="1">
      <c r="A190" s="106"/>
      <c r="B190" s="106"/>
      <c r="C190" s="106"/>
      <c r="D190" s="106"/>
      <c r="E190" s="106"/>
      <c r="F190" s="106"/>
      <c r="G190" s="106"/>
      <c r="H190" s="106"/>
      <c r="I190" s="106"/>
      <c r="J190" s="106"/>
      <c r="K190" s="106"/>
      <c r="L190" s="106"/>
      <c r="M190" s="106"/>
      <c r="N190" s="106"/>
      <c r="O190" s="106"/>
      <c r="P190" s="106"/>
      <c r="Q190" s="106"/>
      <c r="R190" s="106"/>
      <c r="S190" s="106"/>
      <c r="T190" s="106"/>
      <c r="U190" s="106"/>
      <c r="V190" s="106"/>
      <c r="W190" s="106"/>
      <c r="X190" s="106"/>
      <c r="Y190" s="106"/>
      <c r="Z190" s="106"/>
      <c r="AA190" s="106"/>
      <c r="AB190" s="106"/>
      <c r="AC190" s="106"/>
      <c r="AD190" s="106"/>
      <c r="AE190" s="106"/>
      <c r="AF190" s="106"/>
      <c r="AG190" s="106"/>
      <c r="AH190" s="106"/>
      <c r="AI190" s="106"/>
      <c r="AJ190" s="106"/>
    </row>
    <row r="191" spans="1:36" s="6" customFormat="1" ht="15" hidden="1" customHeight="1">
      <c r="A191" s="106"/>
      <c r="B191" s="106"/>
      <c r="C191" s="106"/>
      <c r="D191" s="106"/>
      <c r="E191" s="106"/>
      <c r="F191" s="106"/>
      <c r="G191" s="106"/>
      <c r="H191" s="106"/>
      <c r="I191" s="106"/>
      <c r="J191" s="106"/>
      <c r="K191" s="106"/>
      <c r="L191" s="106"/>
      <c r="M191" s="106"/>
      <c r="N191" s="106"/>
      <c r="O191" s="106"/>
      <c r="P191" s="106"/>
      <c r="Q191" s="106"/>
      <c r="R191" s="106"/>
      <c r="S191" s="106"/>
      <c r="T191" s="106"/>
      <c r="U191" s="106"/>
      <c r="V191" s="106"/>
      <c r="W191" s="106"/>
      <c r="X191" s="106"/>
      <c r="Y191" s="106"/>
      <c r="Z191" s="106"/>
      <c r="AA191" s="106"/>
      <c r="AB191" s="106"/>
      <c r="AC191" s="106"/>
      <c r="AD191" s="106"/>
      <c r="AE191" s="106"/>
      <c r="AF191" s="106"/>
      <c r="AG191" s="106"/>
      <c r="AH191" s="106"/>
      <c r="AI191" s="106"/>
      <c r="AJ191" s="106"/>
    </row>
    <row r="192" spans="1:36" s="6" customFormat="1" ht="15" hidden="1" customHeight="1">
      <c r="A192" s="106"/>
      <c r="B192" s="106"/>
      <c r="C192" s="106"/>
      <c r="D192" s="106"/>
      <c r="E192" s="106"/>
      <c r="F192" s="106"/>
      <c r="G192" s="106"/>
      <c r="H192" s="106"/>
      <c r="I192" s="106"/>
      <c r="J192" s="106"/>
      <c r="K192" s="106"/>
      <c r="L192" s="106"/>
      <c r="M192" s="106"/>
      <c r="N192" s="106"/>
      <c r="O192" s="106"/>
      <c r="P192" s="106"/>
      <c r="Q192" s="106"/>
      <c r="R192" s="106"/>
      <c r="S192" s="106"/>
      <c r="T192" s="106"/>
      <c r="U192" s="106"/>
      <c r="V192" s="106"/>
      <c r="W192" s="106"/>
      <c r="X192" s="106"/>
      <c r="Y192" s="106"/>
      <c r="Z192" s="106"/>
      <c r="AA192" s="106"/>
      <c r="AB192" s="106"/>
      <c r="AC192" s="106"/>
      <c r="AD192" s="106"/>
      <c r="AE192" s="106"/>
      <c r="AF192" s="106"/>
      <c r="AG192" s="106"/>
      <c r="AH192" s="106"/>
      <c r="AI192" s="106"/>
      <c r="AJ192" s="106"/>
    </row>
    <row r="193" spans="1:36" s="6" customFormat="1" ht="15" hidden="1" customHeight="1">
      <c r="A193" s="106"/>
      <c r="B193" s="106"/>
      <c r="C193" s="106"/>
      <c r="D193" s="106"/>
      <c r="E193" s="106"/>
      <c r="F193" s="106"/>
      <c r="G193" s="106"/>
      <c r="H193" s="106"/>
      <c r="I193" s="106"/>
      <c r="J193" s="106"/>
      <c r="K193" s="106"/>
      <c r="L193" s="106"/>
      <c r="M193" s="106"/>
      <c r="N193" s="106"/>
      <c r="O193" s="106"/>
      <c r="P193" s="106"/>
      <c r="Q193" s="106"/>
      <c r="R193" s="106"/>
      <c r="S193" s="106"/>
      <c r="T193" s="106"/>
      <c r="U193" s="106"/>
      <c r="V193" s="106"/>
      <c r="W193" s="106"/>
      <c r="X193" s="106"/>
      <c r="Y193" s="106"/>
      <c r="Z193" s="106"/>
      <c r="AA193" s="106"/>
      <c r="AB193" s="106"/>
      <c r="AC193" s="106"/>
      <c r="AD193" s="106"/>
      <c r="AE193" s="106"/>
      <c r="AF193" s="106"/>
      <c r="AG193" s="106"/>
      <c r="AH193" s="106"/>
      <c r="AI193" s="106"/>
      <c r="AJ193" s="106"/>
    </row>
    <row r="194" spans="1:36" s="6" customFormat="1" ht="15" hidden="1" customHeight="1">
      <c r="A194" s="106"/>
      <c r="B194" s="106"/>
      <c r="C194" s="106"/>
      <c r="D194" s="106"/>
      <c r="E194" s="106"/>
      <c r="F194" s="106"/>
      <c r="G194" s="106"/>
      <c r="H194" s="106"/>
      <c r="I194" s="106"/>
      <c r="J194" s="106"/>
      <c r="K194" s="106"/>
      <c r="L194" s="106"/>
      <c r="M194" s="106"/>
      <c r="N194" s="106"/>
      <c r="O194" s="106"/>
      <c r="P194" s="106"/>
      <c r="Q194" s="106"/>
      <c r="R194" s="106"/>
      <c r="S194" s="106"/>
      <c r="T194" s="106"/>
      <c r="U194" s="106"/>
      <c r="V194" s="106"/>
      <c r="W194" s="106"/>
      <c r="X194" s="106"/>
      <c r="Y194" s="106"/>
      <c r="Z194" s="106"/>
      <c r="AA194" s="106"/>
      <c r="AB194" s="106"/>
      <c r="AC194" s="106"/>
      <c r="AD194" s="106"/>
      <c r="AE194" s="106"/>
      <c r="AF194" s="106"/>
      <c r="AG194" s="106"/>
      <c r="AH194" s="106"/>
      <c r="AI194" s="106"/>
      <c r="AJ194" s="106"/>
    </row>
    <row r="195" spans="1:36" s="6" customFormat="1" ht="15" hidden="1" customHeight="1">
      <c r="A195" s="106"/>
      <c r="B195" s="106"/>
      <c r="C195" s="106"/>
      <c r="D195" s="106"/>
      <c r="E195" s="106"/>
      <c r="F195" s="106"/>
      <c r="G195" s="106"/>
      <c r="H195" s="106"/>
      <c r="I195" s="106"/>
      <c r="J195" s="106"/>
      <c r="K195" s="106"/>
      <c r="L195" s="106"/>
      <c r="M195" s="106"/>
      <c r="N195" s="106"/>
      <c r="O195" s="106"/>
      <c r="P195" s="106"/>
      <c r="Q195" s="106"/>
      <c r="R195" s="106"/>
      <c r="S195" s="106"/>
      <c r="T195" s="106"/>
      <c r="U195" s="106"/>
      <c r="V195" s="106"/>
      <c r="W195" s="106"/>
      <c r="X195" s="106"/>
      <c r="Y195" s="106"/>
      <c r="Z195" s="106"/>
      <c r="AA195" s="106"/>
      <c r="AB195" s="106"/>
      <c r="AC195" s="106"/>
      <c r="AD195" s="106"/>
      <c r="AE195" s="106"/>
      <c r="AF195" s="106"/>
      <c r="AG195" s="106"/>
      <c r="AH195" s="106"/>
      <c r="AI195" s="106"/>
      <c r="AJ195" s="106"/>
    </row>
    <row r="196" spans="1:36" s="6" customFormat="1" ht="15" hidden="1" customHeight="1">
      <c r="A196" s="106"/>
      <c r="B196" s="106"/>
      <c r="C196" s="106"/>
      <c r="D196" s="106"/>
      <c r="E196" s="106"/>
      <c r="F196" s="106"/>
      <c r="G196" s="106"/>
      <c r="H196" s="106"/>
      <c r="I196" s="106"/>
      <c r="J196" s="106"/>
      <c r="K196" s="106"/>
      <c r="L196" s="106"/>
      <c r="M196" s="106"/>
      <c r="N196" s="106"/>
      <c r="O196" s="106"/>
      <c r="P196" s="106"/>
      <c r="Q196" s="106"/>
      <c r="R196" s="106"/>
      <c r="S196" s="106"/>
      <c r="T196" s="106"/>
      <c r="U196" s="106"/>
      <c r="V196" s="106"/>
      <c r="W196" s="106"/>
      <c r="X196" s="106"/>
      <c r="Y196" s="106"/>
      <c r="Z196" s="106"/>
      <c r="AA196" s="106"/>
      <c r="AB196" s="106"/>
      <c r="AC196" s="106"/>
      <c r="AD196" s="106"/>
      <c r="AE196" s="106"/>
      <c r="AF196" s="106"/>
      <c r="AG196" s="106"/>
      <c r="AH196" s="106"/>
      <c r="AI196" s="106"/>
      <c r="AJ196" s="106"/>
    </row>
    <row r="197" spans="1:36" s="6" customFormat="1" ht="15" hidden="1" customHeight="1">
      <c r="A197" s="106"/>
      <c r="B197" s="106"/>
      <c r="C197" s="106"/>
      <c r="D197" s="106"/>
      <c r="E197" s="106"/>
      <c r="F197" s="106"/>
      <c r="G197" s="106"/>
      <c r="H197" s="106"/>
      <c r="I197" s="106"/>
      <c r="J197" s="106"/>
      <c r="K197" s="106"/>
      <c r="L197" s="106"/>
      <c r="M197" s="106"/>
      <c r="N197" s="106"/>
      <c r="O197" s="106"/>
      <c r="P197" s="106"/>
      <c r="Q197" s="106"/>
      <c r="R197" s="106"/>
      <c r="S197" s="106"/>
      <c r="T197" s="106"/>
      <c r="U197" s="106"/>
      <c r="V197" s="106"/>
      <c r="W197" s="106"/>
      <c r="X197" s="106"/>
      <c r="Y197" s="106"/>
      <c r="Z197" s="106"/>
      <c r="AA197" s="106"/>
      <c r="AB197" s="106"/>
      <c r="AC197" s="106"/>
      <c r="AD197" s="106"/>
      <c r="AE197" s="106"/>
      <c r="AF197" s="106"/>
      <c r="AG197" s="106"/>
      <c r="AH197" s="106"/>
      <c r="AI197" s="106"/>
      <c r="AJ197" s="106"/>
    </row>
    <row r="198" spans="1:36" s="6" customFormat="1" ht="15" hidden="1" customHeight="1">
      <c r="A198" s="106"/>
      <c r="B198" s="106"/>
      <c r="C198" s="106"/>
      <c r="D198" s="106"/>
      <c r="E198" s="106"/>
      <c r="F198" s="106"/>
      <c r="G198" s="106"/>
      <c r="H198" s="106"/>
      <c r="I198" s="106"/>
      <c r="J198" s="106"/>
      <c r="K198" s="106"/>
      <c r="L198" s="106"/>
      <c r="M198" s="106"/>
      <c r="N198" s="106"/>
      <c r="O198" s="106"/>
      <c r="P198" s="106"/>
      <c r="Q198" s="106"/>
      <c r="R198" s="106"/>
      <c r="S198" s="106"/>
      <c r="T198" s="106"/>
      <c r="U198" s="106"/>
      <c r="V198" s="106"/>
      <c r="W198" s="106"/>
      <c r="X198" s="106"/>
      <c r="Y198" s="106"/>
      <c r="Z198" s="106"/>
      <c r="AA198" s="106"/>
      <c r="AB198" s="106"/>
      <c r="AC198" s="106"/>
      <c r="AD198" s="106"/>
      <c r="AE198" s="106"/>
      <c r="AF198" s="106"/>
      <c r="AG198" s="106"/>
      <c r="AH198" s="106"/>
      <c r="AI198" s="106"/>
      <c r="AJ198" s="106"/>
    </row>
    <row r="199" spans="1:36" ht="15" hidden="1" customHeight="1"/>
    <row r="200" spans="1:36" ht="15" hidden="1" customHeight="1"/>
    <row r="201" spans="1:36" ht="15" hidden="1"/>
    <row r="202" spans="1:36" ht="15" hidden="1"/>
    <row r="203" spans="1:36" ht="15" hidden="1"/>
    <row r="204" spans="1:36" ht="15" hidden="1"/>
    <row r="205" spans="1:36" ht="15" hidden="1"/>
    <row r="206" spans="1:36" ht="15" hidden="1"/>
    <row r="207" spans="1:36" ht="20.100000000000001" hidden="1" customHeight="1"/>
    <row r="208" spans="1:36" ht="20.100000000000001" hidden="1" customHeight="1"/>
    <row r="209" spans="1:36" ht="15" hidden="1" customHeight="1"/>
    <row r="210" spans="1:36" ht="15" hidden="1" customHeight="1"/>
    <row r="211" spans="1:36" ht="15" hidden="1" customHeight="1"/>
    <row r="212" spans="1:36" s="6" customFormat="1" ht="15" hidden="1" customHeight="1">
      <c r="A212" s="106"/>
      <c r="B212" s="106"/>
      <c r="C212" s="106"/>
      <c r="D212" s="106"/>
      <c r="E212" s="106"/>
      <c r="F212" s="106"/>
      <c r="G212" s="106"/>
      <c r="H212" s="106"/>
      <c r="I212" s="106"/>
      <c r="J212" s="106"/>
      <c r="K212" s="106"/>
      <c r="L212" s="106"/>
      <c r="M212" s="106"/>
      <c r="N212" s="106"/>
      <c r="O212" s="106"/>
      <c r="P212" s="106"/>
      <c r="Q212" s="106"/>
      <c r="R212" s="106"/>
      <c r="S212" s="106"/>
      <c r="T212" s="106"/>
      <c r="U212" s="106"/>
      <c r="V212" s="106"/>
      <c r="W212" s="106"/>
      <c r="X212" s="106"/>
      <c r="Y212" s="106"/>
      <c r="Z212" s="106"/>
      <c r="AA212" s="106"/>
      <c r="AB212" s="106"/>
      <c r="AC212" s="106"/>
      <c r="AD212" s="106"/>
      <c r="AE212" s="106"/>
      <c r="AF212" s="106"/>
      <c r="AG212" s="106"/>
      <c r="AH212" s="106"/>
      <c r="AI212" s="106"/>
      <c r="AJ212" s="106"/>
    </row>
    <row r="213" spans="1:36" s="6" customFormat="1" ht="15" hidden="1" customHeight="1">
      <c r="A213" s="106"/>
      <c r="B213" s="106"/>
      <c r="C213" s="106"/>
      <c r="D213" s="106"/>
      <c r="E213" s="106"/>
      <c r="F213" s="106"/>
      <c r="G213" s="106"/>
      <c r="H213" s="106"/>
      <c r="I213" s="106"/>
      <c r="J213" s="106"/>
      <c r="K213" s="106"/>
      <c r="L213" s="106"/>
      <c r="M213" s="106"/>
      <c r="N213" s="106"/>
      <c r="O213" s="106"/>
      <c r="P213" s="106"/>
      <c r="Q213" s="106"/>
      <c r="R213" s="106"/>
      <c r="S213" s="106"/>
      <c r="T213" s="106"/>
      <c r="U213" s="106"/>
      <c r="V213" s="106"/>
      <c r="W213" s="106"/>
      <c r="X213" s="106"/>
      <c r="Y213" s="106"/>
      <c r="Z213" s="106"/>
      <c r="AA213" s="106"/>
      <c r="AB213" s="106"/>
      <c r="AC213" s="106"/>
      <c r="AD213" s="106"/>
      <c r="AE213" s="106"/>
      <c r="AF213" s="106"/>
      <c r="AG213" s="106"/>
      <c r="AH213" s="106"/>
      <c r="AI213" s="106"/>
      <c r="AJ213" s="106"/>
    </row>
    <row r="214" spans="1:36" s="6" customFormat="1" ht="15" hidden="1" customHeight="1">
      <c r="A214" s="106"/>
      <c r="B214" s="106"/>
      <c r="C214" s="106"/>
      <c r="D214" s="106"/>
      <c r="E214" s="106"/>
      <c r="F214" s="106"/>
      <c r="G214" s="106"/>
      <c r="H214" s="106"/>
      <c r="I214" s="106"/>
      <c r="J214" s="106"/>
      <c r="K214" s="106"/>
      <c r="L214" s="106"/>
      <c r="M214" s="106"/>
      <c r="N214" s="106"/>
      <c r="O214" s="106"/>
      <c r="P214" s="106"/>
      <c r="Q214" s="106"/>
      <c r="R214" s="106"/>
      <c r="S214" s="106"/>
      <c r="T214" s="106"/>
      <c r="U214" s="106"/>
      <c r="V214" s="106"/>
      <c r="W214" s="106"/>
      <c r="X214" s="106"/>
      <c r="Y214" s="106"/>
      <c r="Z214" s="106"/>
      <c r="AA214" s="106"/>
      <c r="AB214" s="106"/>
      <c r="AC214" s="106"/>
      <c r="AD214" s="106"/>
      <c r="AE214" s="106"/>
      <c r="AF214" s="106"/>
      <c r="AG214" s="106"/>
      <c r="AH214" s="106"/>
      <c r="AI214" s="106"/>
      <c r="AJ214" s="106"/>
    </row>
    <row r="215" spans="1:36" s="6" customFormat="1" ht="15" hidden="1" customHeight="1">
      <c r="A215" s="106"/>
      <c r="B215" s="106"/>
      <c r="C215" s="106"/>
      <c r="D215" s="106"/>
      <c r="E215" s="106"/>
      <c r="F215" s="106"/>
      <c r="G215" s="106"/>
      <c r="H215" s="106"/>
      <c r="I215" s="106"/>
      <c r="J215" s="106"/>
      <c r="K215" s="106"/>
      <c r="L215" s="106"/>
      <c r="M215" s="106"/>
      <c r="N215" s="106"/>
      <c r="O215" s="106"/>
      <c r="P215" s="106"/>
      <c r="Q215" s="106"/>
      <c r="R215" s="106"/>
      <c r="S215" s="106"/>
      <c r="T215" s="106"/>
      <c r="U215" s="106"/>
      <c r="V215" s="106"/>
      <c r="W215" s="106"/>
      <c r="X215" s="106"/>
      <c r="Y215" s="106"/>
      <c r="Z215" s="106"/>
      <c r="AA215" s="106"/>
      <c r="AB215" s="106"/>
      <c r="AC215" s="106"/>
      <c r="AD215" s="106"/>
      <c r="AE215" s="106"/>
      <c r="AF215" s="106"/>
      <c r="AG215" s="106"/>
      <c r="AH215" s="106"/>
      <c r="AI215" s="106"/>
      <c r="AJ215" s="106"/>
    </row>
    <row r="216" spans="1:36" s="6" customFormat="1" ht="15" hidden="1" customHeight="1">
      <c r="A216" s="106"/>
      <c r="B216" s="106"/>
      <c r="C216" s="106"/>
      <c r="D216" s="106"/>
      <c r="E216" s="106"/>
      <c r="F216" s="106"/>
      <c r="G216" s="106"/>
      <c r="H216" s="106"/>
      <c r="I216" s="106"/>
      <c r="J216" s="106"/>
      <c r="K216" s="106"/>
      <c r="L216" s="106"/>
      <c r="M216" s="106"/>
      <c r="N216" s="106"/>
      <c r="O216" s="106"/>
      <c r="P216" s="106"/>
      <c r="Q216" s="106"/>
      <c r="R216" s="106"/>
      <c r="S216" s="106"/>
      <c r="T216" s="106"/>
      <c r="U216" s="106"/>
      <c r="V216" s="106"/>
      <c r="W216" s="106"/>
      <c r="X216" s="106"/>
      <c r="Y216" s="106"/>
      <c r="Z216" s="106"/>
      <c r="AA216" s="106"/>
      <c r="AB216" s="106"/>
      <c r="AC216" s="106"/>
      <c r="AD216" s="106"/>
      <c r="AE216" s="106"/>
      <c r="AF216" s="106"/>
      <c r="AG216" s="106"/>
      <c r="AH216" s="106"/>
      <c r="AI216" s="106"/>
      <c r="AJ216" s="106"/>
    </row>
    <row r="217" spans="1:36" s="6" customFormat="1" ht="15" hidden="1" customHeight="1">
      <c r="A217" s="106"/>
      <c r="B217" s="106"/>
      <c r="C217" s="106"/>
      <c r="D217" s="106"/>
      <c r="E217" s="106"/>
      <c r="F217" s="106"/>
      <c r="G217" s="106"/>
      <c r="H217" s="106"/>
      <c r="I217" s="106"/>
      <c r="J217" s="106"/>
      <c r="K217" s="106"/>
      <c r="L217" s="106"/>
      <c r="M217" s="106"/>
      <c r="N217" s="106"/>
      <c r="O217" s="106"/>
      <c r="P217" s="106"/>
      <c r="Q217" s="106"/>
      <c r="R217" s="106"/>
      <c r="S217" s="106"/>
      <c r="T217" s="106"/>
      <c r="U217" s="106"/>
      <c r="V217" s="106"/>
      <c r="W217" s="106"/>
      <c r="X217" s="106"/>
      <c r="Y217" s="106"/>
      <c r="Z217" s="106"/>
      <c r="AA217" s="106"/>
      <c r="AB217" s="106"/>
      <c r="AC217" s="106"/>
      <c r="AD217" s="106"/>
      <c r="AE217" s="106"/>
      <c r="AF217" s="106"/>
      <c r="AG217" s="106"/>
      <c r="AH217" s="106"/>
      <c r="AI217" s="106"/>
      <c r="AJ217" s="106"/>
    </row>
    <row r="218" spans="1:36" s="6" customFormat="1" ht="15" hidden="1" customHeight="1">
      <c r="A218" s="106"/>
      <c r="B218" s="106"/>
      <c r="C218" s="106"/>
      <c r="D218" s="106"/>
      <c r="E218" s="106"/>
      <c r="F218" s="106"/>
      <c r="G218" s="106"/>
      <c r="H218" s="106"/>
      <c r="I218" s="106"/>
      <c r="J218" s="106"/>
      <c r="K218" s="106"/>
      <c r="L218" s="106"/>
      <c r="M218" s="106"/>
      <c r="N218" s="106"/>
      <c r="O218" s="106"/>
      <c r="P218" s="106"/>
      <c r="Q218" s="106"/>
      <c r="R218" s="106"/>
      <c r="S218" s="106"/>
      <c r="T218" s="106"/>
      <c r="U218" s="106"/>
      <c r="V218" s="106"/>
      <c r="W218" s="106"/>
      <c r="X218" s="106"/>
      <c r="Y218" s="106"/>
      <c r="Z218" s="106"/>
      <c r="AA218" s="106"/>
      <c r="AB218" s="106"/>
      <c r="AC218" s="106"/>
      <c r="AD218" s="106"/>
      <c r="AE218" s="106"/>
      <c r="AF218" s="106"/>
      <c r="AG218" s="106"/>
      <c r="AH218" s="106"/>
      <c r="AI218" s="106"/>
      <c r="AJ218" s="106"/>
    </row>
    <row r="219" spans="1:36" s="6" customFormat="1" ht="15" hidden="1" customHeight="1">
      <c r="A219" s="106"/>
      <c r="B219" s="106"/>
      <c r="C219" s="106"/>
      <c r="D219" s="106"/>
      <c r="E219" s="106"/>
      <c r="F219" s="106"/>
      <c r="G219" s="106"/>
      <c r="H219" s="106"/>
      <c r="I219" s="106"/>
      <c r="J219" s="106"/>
      <c r="K219" s="106"/>
      <c r="L219" s="106"/>
      <c r="M219" s="106"/>
      <c r="N219" s="106"/>
      <c r="O219" s="106"/>
      <c r="P219" s="106"/>
      <c r="Q219" s="106"/>
      <c r="R219" s="106"/>
      <c r="S219" s="106"/>
      <c r="T219" s="106"/>
      <c r="U219" s="106"/>
      <c r="V219" s="106"/>
      <c r="W219" s="106"/>
      <c r="X219" s="106"/>
      <c r="Y219" s="106"/>
      <c r="Z219" s="106"/>
      <c r="AA219" s="106"/>
      <c r="AB219" s="106"/>
      <c r="AC219" s="106"/>
      <c r="AD219" s="106"/>
      <c r="AE219" s="106"/>
      <c r="AF219" s="106"/>
      <c r="AG219" s="106"/>
      <c r="AH219" s="106"/>
      <c r="AI219" s="106"/>
      <c r="AJ219" s="106"/>
    </row>
    <row r="220" spans="1:36" s="6" customFormat="1" ht="15" hidden="1" customHeight="1">
      <c r="A220" s="106"/>
      <c r="B220" s="106"/>
      <c r="C220" s="106"/>
      <c r="D220" s="106"/>
      <c r="E220" s="106"/>
      <c r="F220" s="106"/>
      <c r="G220" s="106"/>
      <c r="H220" s="106"/>
      <c r="I220" s="106"/>
      <c r="J220" s="106"/>
      <c r="K220" s="106"/>
      <c r="L220" s="106"/>
      <c r="M220" s="106"/>
      <c r="N220" s="106"/>
      <c r="O220" s="106"/>
      <c r="P220" s="106"/>
      <c r="Q220" s="106"/>
      <c r="R220" s="106"/>
      <c r="S220" s="106"/>
      <c r="T220" s="106"/>
      <c r="U220" s="106"/>
      <c r="V220" s="106"/>
      <c r="W220" s="106"/>
      <c r="X220" s="106"/>
      <c r="Y220" s="106"/>
      <c r="Z220" s="106"/>
      <c r="AA220" s="106"/>
      <c r="AB220" s="106"/>
      <c r="AC220" s="106"/>
      <c r="AD220" s="106"/>
      <c r="AE220" s="106"/>
      <c r="AF220" s="106"/>
      <c r="AG220" s="106"/>
      <c r="AH220" s="106"/>
      <c r="AI220" s="106"/>
      <c r="AJ220" s="106"/>
    </row>
    <row r="221" spans="1:36" s="6" customFormat="1" ht="15" hidden="1" customHeight="1">
      <c r="A221" s="106"/>
      <c r="B221" s="106"/>
      <c r="C221" s="106"/>
      <c r="D221" s="106"/>
      <c r="E221" s="106"/>
      <c r="F221" s="106"/>
      <c r="G221" s="106"/>
      <c r="H221" s="106"/>
      <c r="I221" s="106"/>
      <c r="J221" s="106"/>
      <c r="K221" s="106"/>
      <c r="L221" s="106"/>
      <c r="M221" s="106"/>
      <c r="N221" s="106"/>
      <c r="O221" s="106"/>
      <c r="P221" s="106"/>
      <c r="Q221" s="106"/>
      <c r="R221" s="106"/>
      <c r="S221" s="106"/>
      <c r="T221" s="106"/>
      <c r="U221" s="106"/>
      <c r="V221" s="106"/>
      <c r="W221" s="106"/>
      <c r="X221" s="106"/>
      <c r="Y221" s="106"/>
      <c r="Z221" s="106"/>
      <c r="AA221" s="106"/>
      <c r="AB221" s="106"/>
      <c r="AC221" s="106"/>
      <c r="AD221" s="106"/>
      <c r="AE221" s="106"/>
      <c r="AF221" s="106"/>
      <c r="AG221" s="106"/>
      <c r="AH221" s="106"/>
      <c r="AI221" s="106"/>
      <c r="AJ221" s="106"/>
    </row>
    <row r="222" spans="1:36" s="6" customFormat="1" ht="15" hidden="1" customHeight="1">
      <c r="A222" s="106"/>
      <c r="B222" s="106"/>
      <c r="C222" s="106"/>
      <c r="D222" s="106"/>
      <c r="E222" s="106"/>
      <c r="F222" s="106"/>
      <c r="G222" s="106"/>
      <c r="H222" s="106"/>
      <c r="I222" s="106"/>
      <c r="J222" s="106"/>
      <c r="K222" s="106"/>
      <c r="L222" s="106"/>
      <c r="M222" s="106"/>
      <c r="N222" s="106"/>
      <c r="O222" s="106"/>
      <c r="P222" s="106"/>
      <c r="Q222" s="106"/>
      <c r="R222" s="106"/>
      <c r="S222" s="106"/>
      <c r="T222" s="106"/>
      <c r="U222" s="106"/>
      <c r="V222" s="106"/>
      <c r="W222" s="106"/>
      <c r="X222" s="106"/>
      <c r="Y222" s="106"/>
      <c r="Z222" s="106"/>
      <c r="AA222" s="106"/>
      <c r="AB222" s="106"/>
      <c r="AC222" s="106"/>
      <c r="AD222" s="106"/>
      <c r="AE222" s="106"/>
      <c r="AF222" s="106"/>
      <c r="AG222" s="106"/>
      <c r="AH222" s="106"/>
      <c r="AI222" s="106"/>
      <c r="AJ222" s="106"/>
    </row>
    <row r="223" spans="1:36" s="6" customFormat="1" ht="30" hidden="1" customHeight="1">
      <c r="A223" s="106"/>
      <c r="B223" s="106"/>
      <c r="C223" s="106"/>
      <c r="D223" s="106"/>
      <c r="E223" s="106"/>
      <c r="F223" s="106"/>
      <c r="G223" s="106"/>
      <c r="H223" s="106"/>
      <c r="I223" s="106"/>
      <c r="J223" s="106"/>
      <c r="K223" s="106"/>
      <c r="L223" s="106"/>
      <c r="M223" s="106"/>
      <c r="N223" s="106"/>
      <c r="O223" s="106"/>
      <c r="P223" s="106"/>
      <c r="Q223" s="106"/>
      <c r="R223" s="106"/>
      <c r="S223" s="106"/>
      <c r="T223" s="106"/>
      <c r="U223" s="106"/>
      <c r="V223" s="106"/>
      <c r="W223" s="106"/>
      <c r="X223" s="106"/>
      <c r="Y223" s="106"/>
      <c r="Z223" s="106"/>
      <c r="AA223" s="106"/>
      <c r="AB223" s="106"/>
      <c r="AC223" s="106"/>
      <c r="AD223" s="106"/>
      <c r="AE223" s="106"/>
      <c r="AF223" s="106"/>
      <c r="AG223" s="106"/>
      <c r="AH223" s="106"/>
      <c r="AI223" s="106"/>
      <c r="AJ223" s="106"/>
    </row>
    <row r="224" spans="1:36" s="6" customFormat="1" ht="15" hidden="1" customHeight="1">
      <c r="A224" s="106"/>
      <c r="B224" s="106"/>
      <c r="C224" s="106"/>
      <c r="D224" s="106"/>
      <c r="E224" s="106"/>
      <c r="F224" s="106"/>
      <c r="G224" s="106"/>
      <c r="H224" s="106"/>
      <c r="I224" s="106"/>
      <c r="J224" s="106"/>
      <c r="K224" s="106"/>
      <c r="L224" s="106"/>
      <c r="M224" s="106"/>
      <c r="N224" s="106"/>
      <c r="O224" s="106"/>
      <c r="P224" s="106"/>
      <c r="Q224" s="106"/>
      <c r="R224" s="106"/>
      <c r="S224" s="106"/>
      <c r="T224" s="106"/>
      <c r="U224" s="106"/>
      <c r="V224" s="106"/>
      <c r="W224" s="106"/>
      <c r="X224" s="106"/>
      <c r="Y224" s="106"/>
      <c r="Z224" s="106"/>
      <c r="AA224" s="106"/>
      <c r="AB224" s="106"/>
      <c r="AC224" s="106"/>
      <c r="AD224" s="106"/>
      <c r="AE224" s="106"/>
      <c r="AF224" s="106"/>
      <c r="AG224" s="106"/>
      <c r="AH224" s="106"/>
      <c r="AI224" s="106"/>
      <c r="AJ224" s="106"/>
    </row>
    <row r="225" spans="1:36" s="6" customFormat="1" ht="30" hidden="1" customHeight="1">
      <c r="A225" s="106"/>
      <c r="B225" s="106"/>
      <c r="C225" s="106"/>
      <c r="D225" s="106"/>
      <c r="E225" s="106"/>
      <c r="F225" s="106"/>
      <c r="G225" s="106"/>
      <c r="H225" s="106"/>
      <c r="I225" s="106"/>
      <c r="J225" s="106"/>
      <c r="K225" s="106"/>
      <c r="L225" s="106"/>
      <c r="M225" s="106"/>
      <c r="N225" s="106"/>
      <c r="O225" s="106"/>
      <c r="P225" s="106"/>
      <c r="Q225" s="106"/>
      <c r="R225" s="106"/>
      <c r="S225" s="106"/>
      <c r="T225" s="106"/>
      <c r="U225" s="106"/>
      <c r="V225" s="106"/>
      <c r="W225" s="106"/>
      <c r="X225" s="106"/>
      <c r="Y225" s="106"/>
      <c r="Z225" s="106"/>
      <c r="AA225" s="106"/>
      <c r="AB225" s="106"/>
      <c r="AC225" s="106"/>
      <c r="AD225" s="106"/>
      <c r="AE225" s="106"/>
      <c r="AF225" s="106"/>
      <c r="AG225" s="106"/>
      <c r="AH225" s="106"/>
      <c r="AI225" s="106"/>
      <c r="AJ225" s="106"/>
    </row>
    <row r="226" spans="1:36" s="6" customFormat="1" ht="15" hidden="1" customHeight="1">
      <c r="A226" s="106"/>
      <c r="B226" s="106"/>
      <c r="C226" s="106"/>
      <c r="D226" s="106"/>
      <c r="E226" s="106"/>
      <c r="F226" s="106"/>
      <c r="G226" s="106"/>
      <c r="H226" s="106"/>
      <c r="I226" s="106"/>
      <c r="J226" s="106"/>
      <c r="K226" s="106"/>
      <c r="L226" s="106"/>
      <c r="M226" s="106"/>
      <c r="N226" s="106"/>
      <c r="O226" s="106"/>
      <c r="P226" s="106"/>
      <c r="Q226" s="106"/>
      <c r="R226" s="106"/>
      <c r="S226" s="106"/>
      <c r="T226" s="106"/>
      <c r="U226" s="106"/>
      <c r="V226" s="106"/>
      <c r="W226" s="106"/>
      <c r="X226" s="106"/>
      <c r="Y226" s="106"/>
      <c r="Z226" s="106"/>
      <c r="AA226" s="106"/>
      <c r="AB226" s="106"/>
      <c r="AC226" s="106"/>
      <c r="AD226" s="106"/>
      <c r="AE226" s="106"/>
      <c r="AF226" s="106"/>
      <c r="AG226" s="106"/>
      <c r="AH226" s="106"/>
      <c r="AI226" s="106"/>
      <c r="AJ226" s="106"/>
    </row>
    <row r="227" spans="1:36" s="6" customFormat="1" ht="15" hidden="1" customHeight="1">
      <c r="A227" s="106"/>
      <c r="B227" s="106"/>
      <c r="C227" s="106"/>
      <c r="D227" s="106"/>
      <c r="E227" s="106"/>
      <c r="F227" s="106"/>
      <c r="G227" s="106"/>
      <c r="H227" s="106"/>
      <c r="I227" s="106"/>
      <c r="J227" s="106"/>
      <c r="K227" s="106"/>
      <c r="L227" s="106"/>
      <c r="M227" s="106"/>
      <c r="N227" s="106"/>
      <c r="O227" s="106"/>
      <c r="P227" s="106"/>
      <c r="Q227" s="106"/>
      <c r="R227" s="106"/>
      <c r="S227" s="106"/>
      <c r="T227" s="106"/>
      <c r="U227" s="106"/>
      <c r="V227" s="106"/>
      <c r="W227" s="106"/>
      <c r="X227" s="106"/>
      <c r="Y227" s="106"/>
      <c r="Z227" s="106"/>
      <c r="AA227" s="106"/>
      <c r="AB227" s="106"/>
      <c r="AC227" s="106"/>
      <c r="AD227" s="106"/>
      <c r="AE227" s="106"/>
      <c r="AF227" s="106"/>
      <c r="AG227" s="106"/>
      <c r="AH227" s="106"/>
      <c r="AI227" s="106"/>
      <c r="AJ227" s="106"/>
    </row>
    <row r="228" spans="1:36" s="6" customFormat="1" ht="30" hidden="1" customHeight="1">
      <c r="A228" s="106"/>
      <c r="B228" s="106"/>
      <c r="C228" s="106"/>
      <c r="D228" s="106"/>
      <c r="E228" s="106"/>
      <c r="F228" s="106"/>
      <c r="G228" s="106"/>
      <c r="H228" s="106"/>
      <c r="I228" s="106"/>
      <c r="J228" s="106"/>
      <c r="K228" s="106"/>
      <c r="L228" s="106"/>
      <c r="M228" s="106"/>
      <c r="N228" s="106"/>
      <c r="O228" s="106"/>
      <c r="P228" s="106"/>
      <c r="Q228" s="106"/>
      <c r="R228" s="106"/>
      <c r="S228" s="106"/>
      <c r="T228" s="106"/>
      <c r="U228" s="106"/>
      <c r="V228" s="106"/>
      <c r="W228" s="106"/>
      <c r="X228" s="106"/>
      <c r="Y228" s="106"/>
      <c r="Z228" s="106"/>
      <c r="AA228" s="106"/>
      <c r="AB228" s="106"/>
      <c r="AC228" s="106"/>
      <c r="AD228" s="106"/>
      <c r="AE228" s="106"/>
      <c r="AF228" s="106"/>
      <c r="AG228" s="106"/>
      <c r="AH228" s="106"/>
      <c r="AI228" s="106"/>
      <c r="AJ228" s="106"/>
    </row>
    <row r="229" spans="1:36" s="6" customFormat="1" ht="15" hidden="1" customHeight="1">
      <c r="A229" s="106"/>
      <c r="B229" s="106"/>
      <c r="C229" s="106"/>
      <c r="D229" s="106"/>
      <c r="E229" s="106"/>
      <c r="F229" s="106"/>
      <c r="G229" s="106"/>
      <c r="H229" s="106"/>
      <c r="I229" s="106"/>
      <c r="J229" s="106"/>
      <c r="K229" s="106"/>
      <c r="L229" s="106"/>
      <c r="M229" s="106"/>
      <c r="N229" s="106"/>
      <c r="O229" s="106"/>
      <c r="P229" s="106"/>
      <c r="Q229" s="106"/>
      <c r="R229" s="106"/>
      <c r="S229" s="106"/>
      <c r="T229" s="106"/>
      <c r="U229" s="106"/>
      <c r="V229" s="106"/>
      <c r="W229" s="106"/>
      <c r="X229" s="106"/>
      <c r="Y229" s="106"/>
      <c r="Z229" s="106"/>
      <c r="AA229" s="106"/>
      <c r="AB229" s="106"/>
      <c r="AC229" s="106"/>
      <c r="AD229" s="106"/>
      <c r="AE229" s="106"/>
      <c r="AF229" s="106"/>
      <c r="AG229" s="106"/>
      <c r="AH229" s="106"/>
      <c r="AI229" s="106"/>
      <c r="AJ229" s="106"/>
    </row>
    <row r="230" spans="1:36" s="6" customFormat="1" ht="15" hidden="1" customHeight="1">
      <c r="A230" s="106"/>
      <c r="B230" s="106"/>
      <c r="C230" s="106"/>
      <c r="D230" s="106"/>
      <c r="E230" s="106"/>
      <c r="F230" s="106"/>
      <c r="G230" s="106"/>
      <c r="H230" s="106"/>
      <c r="I230" s="106"/>
      <c r="J230" s="106"/>
      <c r="K230" s="106"/>
      <c r="L230" s="106"/>
      <c r="M230" s="106"/>
      <c r="N230" s="106"/>
      <c r="O230" s="106"/>
      <c r="P230" s="106"/>
      <c r="Q230" s="106"/>
      <c r="R230" s="106"/>
      <c r="S230" s="106"/>
      <c r="T230" s="106"/>
      <c r="U230" s="106"/>
      <c r="V230" s="106"/>
      <c r="W230" s="106"/>
      <c r="X230" s="106"/>
      <c r="Y230" s="106"/>
      <c r="Z230" s="106"/>
      <c r="AA230" s="106"/>
      <c r="AB230" s="106"/>
      <c r="AC230" s="106"/>
      <c r="AD230" s="106"/>
      <c r="AE230" s="106"/>
      <c r="AF230" s="106"/>
      <c r="AG230" s="106"/>
      <c r="AH230" s="106"/>
      <c r="AI230" s="106"/>
      <c r="AJ230" s="106"/>
    </row>
    <row r="231" spans="1:36" s="6" customFormat="1" ht="15" hidden="1" customHeight="1">
      <c r="A231" s="106"/>
      <c r="B231" s="106"/>
      <c r="C231" s="106"/>
      <c r="D231" s="106"/>
      <c r="E231" s="106"/>
      <c r="F231" s="106"/>
      <c r="G231" s="106"/>
      <c r="H231" s="106"/>
      <c r="I231" s="106"/>
      <c r="J231" s="106"/>
      <c r="K231" s="106"/>
      <c r="L231" s="106"/>
      <c r="M231" s="106"/>
      <c r="N231" s="106"/>
      <c r="O231" s="106"/>
      <c r="P231" s="106"/>
      <c r="Q231" s="106"/>
      <c r="R231" s="106"/>
      <c r="S231" s="106"/>
      <c r="T231" s="106"/>
      <c r="U231" s="106"/>
      <c r="V231" s="106"/>
      <c r="W231" s="106"/>
      <c r="X231" s="106"/>
      <c r="Y231" s="106"/>
      <c r="Z231" s="106"/>
      <c r="AA231" s="106"/>
      <c r="AB231" s="106"/>
      <c r="AC231" s="106"/>
      <c r="AD231" s="106"/>
      <c r="AE231" s="106"/>
      <c r="AF231" s="106"/>
      <c r="AG231" s="106"/>
      <c r="AH231" s="106"/>
      <c r="AI231" s="106"/>
      <c r="AJ231" s="106"/>
    </row>
    <row r="232" spans="1:36" s="6" customFormat="1" ht="15" hidden="1" customHeight="1">
      <c r="A232" s="106"/>
      <c r="B232" s="106"/>
      <c r="C232" s="106"/>
      <c r="D232" s="106"/>
      <c r="E232" s="106"/>
      <c r="F232" s="106"/>
      <c r="G232" s="106"/>
      <c r="H232" s="106"/>
      <c r="I232" s="106"/>
      <c r="J232" s="106"/>
      <c r="K232" s="106"/>
      <c r="L232" s="106"/>
      <c r="M232" s="106"/>
      <c r="N232" s="106"/>
      <c r="O232" s="106"/>
      <c r="P232" s="106"/>
      <c r="Q232" s="106"/>
      <c r="R232" s="106"/>
      <c r="S232" s="106"/>
      <c r="T232" s="106"/>
      <c r="U232" s="106"/>
      <c r="V232" s="106"/>
      <c r="W232" s="106"/>
      <c r="X232" s="106"/>
      <c r="Y232" s="106"/>
      <c r="Z232" s="106"/>
      <c r="AA232" s="106"/>
      <c r="AB232" s="106"/>
      <c r="AC232" s="106"/>
      <c r="AD232" s="106"/>
      <c r="AE232" s="106"/>
      <c r="AF232" s="106"/>
      <c r="AG232" s="106"/>
      <c r="AH232" s="106"/>
      <c r="AI232" s="106"/>
      <c r="AJ232" s="106"/>
    </row>
    <row r="233" spans="1:36" s="6" customFormat="1" ht="30" hidden="1" customHeight="1">
      <c r="A233" s="106"/>
      <c r="B233" s="106"/>
      <c r="C233" s="106"/>
      <c r="D233" s="106"/>
      <c r="E233" s="106"/>
      <c r="F233" s="106"/>
      <c r="G233" s="106"/>
      <c r="H233" s="106"/>
      <c r="I233" s="106"/>
      <c r="J233" s="106"/>
      <c r="K233" s="106"/>
      <c r="L233" s="106"/>
      <c r="M233" s="106"/>
      <c r="N233" s="106"/>
      <c r="O233" s="106"/>
      <c r="P233" s="106"/>
      <c r="Q233" s="106"/>
      <c r="R233" s="106"/>
      <c r="S233" s="106"/>
      <c r="T233" s="106"/>
      <c r="U233" s="106"/>
      <c r="V233" s="106"/>
      <c r="W233" s="106"/>
      <c r="X233" s="106"/>
      <c r="Y233" s="106"/>
      <c r="Z233" s="106"/>
      <c r="AA233" s="106"/>
      <c r="AB233" s="106"/>
      <c r="AC233" s="106"/>
      <c r="AD233" s="106"/>
      <c r="AE233" s="106"/>
      <c r="AF233" s="106"/>
      <c r="AG233" s="106"/>
      <c r="AH233" s="106"/>
      <c r="AI233" s="106"/>
      <c r="AJ233" s="106"/>
    </row>
    <row r="234" spans="1:36" s="6" customFormat="1" ht="15" hidden="1" customHeight="1">
      <c r="A234" s="106"/>
      <c r="B234" s="106"/>
      <c r="C234" s="106"/>
      <c r="D234" s="106"/>
      <c r="E234" s="106"/>
      <c r="F234" s="106"/>
      <c r="G234" s="106"/>
      <c r="H234" s="106"/>
      <c r="I234" s="106"/>
      <c r="J234" s="106"/>
      <c r="K234" s="106"/>
      <c r="L234" s="106"/>
      <c r="M234" s="106"/>
      <c r="N234" s="106"/>
      <c r="O234" s="106"/>
      <c r="P234" s="106"/>
      <c r="Q234" s="106"/>
      <c r="R234" s="106"/>
      <c r="S234" s="106"/>
      <c r="T234" s="106"/>
      <c r="U234" s="106"/>
      <c r="V234" s="106"/>
      <c r="W234" s="106"/>
      <c r="X234" s="106"/>
      <c r="Y234" s="106"/>
      <c r="Z234" s="106"/>
      <c r="AA234" s="106"/>
      <c r="AB234" s="106"/>
      <c r="AC234" s="106"/>
      <c r="AD234" s="106"/>
      <c r="AE234" s="106"/>
      <c r="AF234" s="106"/>
      <c r="AG234" s="106"/>
      <c r="AH234" s="106"/>
      <c r="AI234" s="106"/>
      <c r="AJ234" s="106"/>
    </row>
    <row r="235" spans="1:36" s="6" customFormat="1" ht="15" hidden="1" customHeight="1">
      <c r="A235" s="106"/>
      <c r="B235" s="106"/>
      <c r="C235" s="106"/>
      <c r="D235" s="106"/>
      <c r="E235" s="106"/>
      <c r="F235" s="106"/>
      <c r="G235" s="106"/>
      <c r="H235" s="106"/>
      <c r="I235" s="106"/>
      <c r="J235" s="106"/>
      <c r="K235" s="106"/>
      <c r="L235" s="106"/>
      <c r="M235" s="106"/>
      <c r="N235" s="106"/>
      <c r="O235" s="106"/>
      <c r="P235" s="106"/>
      <c r="Q235" s="106"/>
      <c r="R235" s="106"/>
      <c r="S235" s="106"/>
      <c r="T235" s="106"/>
      <c r="U235" s="106"/>
      <c r="V235" s="106"/>
      <c r="W235" s="106"/>
      <c r="X235" s="106"/>
      <c r="Y235" s="106"/>
      <c r="Z235" s="106"/>
      <c r="AA235" s="106"/>
      <c r="AB235" s="106"/>
      <c r="AC235" s="106"/>
      <c r="AD235" s="106"/>
      <c r="AE235" s="106"/>
      <c r="AF235" s="106"/>
      <c r="AG235" s="106"/>
      <c r="AH235" s="106"/>
      <c r="AI235" s="106"/>
      <c r="AJ235" s="106"/>
    </row>
    <row r="236" spans="1:36" s="6" customFormat="1" ht="30" hidden="1" customHeight="1">
      <c r="A236" s="106"/>
      <c r="B236" s="106"/>
      <c r="C236" s="106"/>
      <c r="D236" s="106"/>
      <c r="E236" s="106"/>
      <c r="F236" s="106"/>
      <c r="G236" s="106"/>
      <c r="H236" s="106"/>
      <c r="I236" s="106"/>
      <c r="J236" s="106"/>
      <c r="K236" s="106"/>
      <c r="L236" s="106"/>
      <c r="M236" s="106"/>
      <c r="N236" s="106"/>
      <c r="O236" s="106"/>
      <c r="P236" s="106"/>
      <c r="Q236" s="106"/>
      <c r="R236" s="106"/>
      <c r="S236" s="106"/>
      <c r="T236" s="106"/>
      <c r="U236" s="106"/>
      <c r="V236" s="106"/>
      <c r="W236" s="106"/>
      <c r="X236" s="106"/>
      <c r="Y236" s="106"/>
      <c r="Z236" s="106"/>
      <c r="AA236" s="106"/>
      <c r="AB236" s="106"/>
      <c r="AC236" s="106"/>
      <c r="AD236" s="106"/>
      <c r="AE236" s="106"/>
      <c r="AF236" s="106"/>
      <c r="AG236" s="106"/>
      <c r="AH236" s="106"/>
      <c r="AI236" s="106"/>
      <c r="AJ236" s="106"/>
    </row>
    <row r="237" spans="1:36" s="6" customFormat="1" ht="15" hidden="1" customHeight="1">
      <c r="A237" s="106"/>
      <c r="B237" s="106"/>
      <c r="C237" s="106"/>
      <c r="D237" s="106"/>
      <c r="E237" s="106"/>
      <c r="F237" s="106"/>
      <c r="G237" s="106"/>
      <c r="H237" s="106"/>
      <c r="I237" s="106"/>
      <c r="J237" s="106"/>
      <c r="K237" s="106"/>
      <c r="L237" s="106"/>
      <c r="M237" s="106"/>
      <c r="N237" s="106"/>
      <c r="O237" s="106"/>
      <c r="P237" s="106"/>
      <c r="Q237" s="106"/>
      <c r="R237" s="106"/>
      <c r="S237" s="106"/>
      <c r="T237" s="106"/>
      <c r="U237" s="106"/>
      <c r="V237" s="106"/>
      <c r="W237" s="106"/>
      <c r="X237" s="106"/>
      <c r="Y237" s="106"/>
      <c r="Z237" s="106"/>
      <c r="AA237" s="106"/>
      <c r="AB237" s="106"/>
      <c r="AC237" s="106"/>
      <c r="AD237" s="106"/>
      <c r="AE237" s="106"/>
      <c r="AF237" s="106"/>
      <c r="AG237" s="106"/>
      <c r="AH237" s="106"/>
      <c r="AI237" s="106"/>
      <c r="AJ237" s="106"/>
    </row>
    <row r="238" spans="1:36" s="6" customFormat="1" ht="15" hidden="1" customHeight="1">
      <c r="A238" s="106"/>
      <c r="B238" s="106"/>
      <c r="C238" s="106"/>
      <c r="D238" s="106"/>
      <c r="E238" s="106"/>
      <c r="F238" s="106"/>
      <c r="G238" s="106"/>
      <c r="H238" s="106"/>
      <c r="I238" s="106"/>
      <c r="J238" s="106"/>
      <c r="K238" s="106"/>
      <c r="L238" s="106"/>
      <c r="M238" s="106"/>
      <c r="N238" s="106"/>
      <c r="O238" s="106"/>
      <c r="P238" s="106"/>
      <c r="Q238" s="106"/>
      <c r="R238" s="106"/>
      <c r="S238" s="106"/>
      <c r="T238" s="106"/>
      <c r="U238" s="106"/>
      <c r="V238" s="106"/>
      <c r="W238" s="106"/>
      <c r="X238" s="106"/>
      <c r="Y238" s="106"/>
      <c r="Z238" s="106"/>
      <c r="AA238" s="106"/>
      <c r="AB238" s="106"/>
      <c r="AC238" s="106"/>
      <c r="AD238" s="106"/>
      <c r="AE238" s="106"/>
      <c r="AF238" s="106"/>
      <c r="AG238" s="106"/>
      <c r="AH238" s="106"/>
      <c r="AI238" s="106"/>
      <c r="AJ238" s="106"/>
    </row>
    <row r="239" spans="1:36" s="6" customFormat="1" ht="15" hidden="1" customHeight="1">
      <c r="A239" s="106"/>
      <c r="B239" s="106"/>
      <c r="C239" s="106"/>
      <c r="D239" s="106"/>
      <c r="E239" s="106"/>
      <c r="F239" s="106"/>
      <c r="G239" s="106"/>
      <c r="H239" s="106"/>
      <c r="I239" s="106"/>
      <c r="J239" s="106"/>
      <c r="K239" s="106"/>
      <c r="L239" s="106"/>
      <c r="M239" s="106"/>
      <c r="N239" s="106"/>
      <c r="O239" s="106"/>
      <c r="P239" s="106"/>
      <c r="Q239" s="106"/>
      <c r="R239" s="106"/>
      <c r="S239" s="106"/>
      <c r="T239" s="106"/>
      <c r="U239" s="106"/>
      <c r="V239" s="106"/>
      <c r="W239" s="106"/>
      <c r="X239" s="106"/>
      <c r="Y239" s="106"/>
      <c r="Z239" s="106"/>
      <c r="AA239" s="106"/>
      <c r="AB239" s="106"/>
      <c r="AC239" s="106"/>
      <c r="AD239" s="106"/>
      <c r="AE239" s="106"/>
      <c r="AF239" s="106"/>
      <c r="AG239" s="106"/>
      <c r="AH239" s="106"/>
      <c r="AI239" s="106"/>
      <c r="AJ239" s="106"/>
    </row>
    <row r="240" spans="1:36" s="6" customFormat="1" ht="15" hidden="1" customHeight="1">
      <c r="A240" s="106"/>
      <c r="B240" s="106"/>
      <c r="C240" s="106"/>
      <c r="D240" s="106"/>
      <c r="E240" s="106"/>
      <c r="F240" s="106"/>
      <c r="G240" s="106"/>
      <c r="H240" s="106"/>
      <c r="I240" s="106"/>
      <c r="J240" s="106"/>
      <c r="K240" s="106"/>
      <c r="L240" s="106"/>
      <c r="M240" s="106"/>
      <c r="N240" s="106"/>
      <c r="O240" s="106"/>
      <c r="P240" s="106"/>
      <c r="Q240" s="106"/>
      <c r="R240" s="106"/>
      <c r="S240" s="106"/>
      <c r="T240" s="106"/>
      <c r="U240" s="106"/>
      <c r="V240" s="106"/>
      <c r="W240" s="106"/>
      <c r="X240" s="106"/>
      <c r="Y240" s="106"/>
      <c r="Z240" s="106"/>
      <c r="AA240" s="106"/>
      <c r="AB240" s="106"/>
      <c r="AC240" s="106"/>
      <c r="AD240" s="106"/>
      <c r="AE240" s="106"/>
      <c r="AF240" s="106"/>
      <c r="AG240" s="106"/>
      <c r="AH240" s="106"/>
      <c r="AI240" s="106"/>
      <c r="AJ240" s="106"/>
    </row>
    <row r="241" spans="1:36" s="6" customFormat="1" ht="15" hidden="1" customHeight="1">
      <c r="A241" s="106"/>
      <c r="B241" s="106"/>
      <c r="C241" s="106"/>
      <c r="D241" s="106"/>
      <c r="E241" s="106"/>
      <c r="F241" s="106"/>
      <c r="G241" s="106"/>
      <c r="H241" s="106"/>
      <c r="I241" s="106"/>
      <c r="J241" s="106"/>
      <c r="K241" s="106"/>
      <c r="L241" s="106"/>
      <c r="M241" s="106"/>
      <c r="N241" s="106"/>
      <c r="O241" s="106"/>
      <c r="P241" s="106"/>
      <c r="Q241" s="106"/>
      <c r="R241" s="106"/>
      <c r="S241" s="106"/>
      <c r="T241" s="106"/>
      <c r="U241" s="106"/>
      <c r="V241" s="106"/>
      <c r="W241" s="106"/>
      <c r="X241" s="106"/>
      <c r="Y241" s="106"/>
      <c r="Z241" s="106"/>
      <c r="AA241" s="106"/>
      <c r="AB241" s="106"/>
      <c r="AC241" s="106"/>
      <c r="AD241" s="106"/>
      <c r="AE241" s="106"/>
      <c r="AF241" s="106"/>
      <c r="AG241" s="106"/>
      <c r="AH241" s="106"/>
      <c r="AI241" s="106"/>
      <c r="AJ241" s="106"/>
    </row>
    <row r="242" spans="1:36" s="6" customFormat="1" ht="15" hidden="1" customHeight="1">
      <c r="A242" s="106"/>
      <c r="B242" s="106"/>
      <c r="C242" s="106"/>
      <c r="D242" s="106"/>
      <c r="E242" s="106"/>
      <c r="F242" s="106"/>
      <c r="G242" s="106"/>
      <c r="H242" s="106"/>
      <c r="I242" s="106"/>
      <c r="J242" s="106"/>
      <c r="K242" s="106"/>
      <c r="L242" s="106"/>
      <c r="M242" s="106"/>
      <c r="N242" s="106"/>
      <c r="O242" s="106"/>
      <c r="P242" s="106"/>
      <c r="Q242" s="106"/>
      <c r="R242" s="106"/>
      <c r="S242" s="106"/>
      <c r="T242" s="106"/>
      <c r="U242" s="106"/>
      <c r="V242" s="106"/>
      <c r="W242" s="106"/>
      <c r="X242" s="106"/>
      <c r="Y242" s="106"/>
      <c r="Z242" s="106"/>
      <c r="AA242" s="106"/>
      <c r="AB242" s="106"/>
      <c r="AC242" s="106"/>
      <c r="AD242" s="106"/>
      <c r="AE242" s="106"/>
      <c r="AF242" s="106"/>
      <c r="AG242" s="106"/>
      <c r="AH242" s="106"/>
      <c r="AI242" s="106"/>
      <c r="AJ242" s="106"/>
    </row>
    <row r="243" spans="1:36" s="6" customFormat="1" ht="15" hidden="1" customHeight="1">
      <c r="A243" s="106"/>
      <c r="B243" s="106"/>
      <c r="C243" s="106"/>
      <c r="D243" s="106"/>
      <c r="E243" s="106"/>
      <c r="F243" s="106"/>
      <c r="G243" s="106"/>
      <c r="H243" s="106"/>
      <c r="I243" s="106"/>
      <c r="J243" s="106"/>
      <c r="K243" s="106"/>
      <c r="L243" s="106"/>
      <c r="M243" s="106"/>
      <c r="N243" s="106"/>
      <c r="O243" s="106"/>
      <c r="P243" s="106"/>
      <c r="Q243" s="106"/>
      <c r="R243" s="106"/>
      <c r="S243" s="106"/>
      <c r="T243" s="106"/>
      <c r="U243" s="106"/>
      <c r="V243" s="106"/>
      <c r="W243" s="106"/>
      <c r="X243" s="106"/>
      <c r="Y243" s="106"/>
      <c r="Z243" s="106"/>
      <c r="AA243" s="106"/>
      <c r="AB243" s="106"/>
      <c r="AC243" s="106"/>
      <c r="AD243" s="106"/>
      <c r="AE243" s="106"/>
      <c r="AF243" s="106"/>
      <c r="AG243" s="106"/>
      <c r="AH243" s="106"/>
      <c r="AI243" s="106"/>
      <c r="AJ243" s="106"/>
    </row>
    <row r="244" spans="1:36" s="6" customFormat="1" ht="15" hidden="1" customHeight="1">
      <c r="A244" s="106"/>
      <c r="B244" s="106"/>
      <c r="C244" s="106"/>
      <c r="D244" s="106"/>
      <c r="E244" s="106"/>
      <c r="F244" s="106"/>
      <c r="G244" s="106"/>
      <c r="H244" s="106"/>
      <c r="I244" s="106"/>
      <c r="J244" s="106"/>
      <c r="K244" s="106"/>
      <c r="L244" s="106"/>
      <c r="M244" s="106"/>
      <c r="N244" s="106"/>
      <c r="O244" s="106"/>
      <c r="P244" s="106"/>
      <c r="Q244" s="106"/>
      <c r="R244" s="106"/>
      <c r="S244" s="106"/>
      <c r="T244" s="106"/>
      <c r="U244" s="106"/>
      <c r="V244" s="106"/>
      <c r="W244" s="106"/>
      <c r="X244" s="106"/>
      <c r="Y244" s="106"/>
      <c r="Z244" s="106"/>
      <c r="AA244" s="106"/>
      <c r="AB244" s="106"/>
      <c r="AC244" s="106"/>
      <c r="AD244" s="106"/>
      <c r="AE244" s="106"/>
      <c r="AF244" s="106"/>
      <c r="AG244" s="106"/>
      <c r="AH244" s="106"/>
      <c r="AI244" s="106"/>
      <c r="AJ244" s="106"/>
    </row>
    <row r="245" spans="1:36" s="6" customFormat="1" ht="15" hidden="1" customHeight="1">
      <c r="A245" s="106"/>
      <c r="B245" s="106"/>
      <c r="C245" s="106"/>
      <c r="D245" s="106"/>
      <c r="E245" s="106"/>
      <c r="F245" s="106"/>
      <c r="G245" s="106"/>
      <c r="H245" s="106"/>
      <c r="I245" s="106"/>
      <c r="J245" s="106"/>
      <c r="K245" s="106"/>
      <c r="L245" s="106"/>
      <c r="M245" s="106"/>
      <c r="N245" s="106"/>
      <c r="O245" s="106"/>
      <c r="P245" s="106"/>
      <c r="Q245" s="106"/>
      <c r="R245" s="106"/>
      <c r="S245" s="106"/>
      <c r="T245" s="106"/>
      <c r="U245" s="106"/>
      <c r="V245" s="106"/>
      <c r="W245" s="106"/>
      <c r="X245" s="106"/>
      <c r="Y245" s="106"/>
      <c r="Z245" s="106"/>
      <c r="AA245" s="106"/>
      <c r="AB245" s="106"/>
      <c r="AC245" s="106"/>
      <c r="AD245" s="106"/>
      <c r="AE245" s="106"/>
      <c r="AF245" s="106"/>
      <c r="AG245" s="106"/>
      <c r="AH245" s="106"/>
      <c r="AI245" s="106"/>
      <c r="AJ245" s="106"/>
    </row>
    <row r="246" spans="1:36" s="6" customFormat="1" ht="15" hidden="1" customHeight="1">
      <c r="A246" s="106"/>
      <c r="B246" s="106"/>
      <c r="C246" s="106"/>
      <c r="D246" s="106"/>
      <c r="E246" s="106"/>
      <c r="F246" s="106"/>
      <c r="G246" s="106"/>
      <c r="H246" s="106"/>
      <c r="I246" s="106"/>
      <c r="J246" s="106"/>
      <c r="K246" s="106"/>
      <c r="L246" s="106"/>
      <c r="M246" s="106"/>
      <c r="N246" s="106"/>
      <c r="O246" s="106"/>
      <c r="P246" s="106"/>
      <c r="Q246" s="106"/>
      <c r="R246" s="106"/>
      <c r="S246" s="106"/>
      <c r="T246" s="106"/>
      <c r="U246" s="106"/>
      <c r="V246" s="106"/>
      <c r="W246" s="106"/>
      <c r="X246" s="106"/>
      <c r="Y246" s="106"/>
      <c r="Z246" s="106"/>
      <c r="AA246" s="106"/>
      <c r="AB246" s="106"/>
      <c r="AC246" s="106"/>
      <c r="AD246" s="106"/>
      <c r="AE246" s="106"/>
      <c r="AF246" s="106"/>
      <c r="AG246" s="106"/>
      <c r="AH246" s="106"/>
      <c r="AI246" s="106"/>
      <c r="AJ246" s="106"/>
    </row>
    <row r="247" spans="1:36" s="6" customFormat="1" ht="15" hidden="1" customHeight="1">
      <c r="A247" s="106"/>
      <c r="B247" s="106"/>
      <c r="C247" s="106"/>
      <c r="D247" s="106"/>
      <c r="E247" s="106"/>
      <c r="F247" s="106"/>
      <c r="G247" s="106"/>
      <c r="H247" s="106"/>
      <c r="I247" s="106"/>
      <c r="J247" s="106"/>
      <c r="K247" s="106"/>
      <c r="L247" s="106"/>
      <c r="M247" s="106"/>
      <c r="N247" s="106"/>
      <c r="O247" s="106"/>
      <c r="P247" s="106"/>
      <c r="Q247" s="106"/>
      <c r="R247" s="106"/>
      <c r="S247" s="106"/>
      <c r="T247" s="106"/>
      <c r="U247" s="106"/>
      <c r="V247" s="106"/>
      <c r="W247" s="106"/>
      <c r="X247" s="106"/>
      <c r="Y247" s="106"/>
      <c r="Z247" s="106"/>
      <c r="AA247" s="106"/>
      <c r="AB247" s="106"/>
      <c r="AC247" s="106"/>
      <c r="AD247" s="106"/>
      <c r="AE247" s="106"/>
      <c r="AF247" s="106"/>
      <c r="AG247" s="106"/>
      <c r="AH247" s="106"/>
      <c r="AI247" s="106"/>
      <c r="AJ247" s="106"/>
    </row>
    <row r="248" spans="1:36" s="6" customFormat="1" ht="15" hidden="1" customHeight="1">
      <c r="A248" s="106"/>
      <c r="B248" s="106"/>
      <c r="C248" s="106"/>
      <c r="D248" s="106"/>
      <c r="E248" s="106"/>
      <c r="F248" s="106"/>
      <c r="G248" s="106"/>
      <c r="H248" s="106"/>
      <c r="I248" s="106"/>
      <c r="J248" s="106"/>
      <c r="K248" s="106"/>
      <c r="L248" s="106"/>
      <c r="M248" s="106"/>
      <c r="N248" s="106"/>
      <c r="O248" s="106"/>
      <c r="P248" s="106"/>
      <c r="Q248" s="106"/>
      <c r="R248" s="106"/>
      <c r="S248" s="106"/>
      <c r="T248" s="106"/>
      <c r="U248" s="106"/>
      <c r="V248" s="106"/>
      <c r="W248" s="106"/>
      <c r="X248" s="106"/>
      <c r="Y248" s="106"/>
      <c r="Z248" s="106"/>
      <c r="AA248" s="106"/>
      <c r="AB248" s="106"/>
      <c r="AC248" s="106"/>
      <c r="AD248" s="106"/>
      <c r="AE248" s="106"/>
      <c r="AF248" s="106"/>
      <c r="AG248" s="106"/>
      <c r="AH248" s="106"/>
      <c r="AI248" s="106"/>
      <c r="AJ248" s="106"/>
    </row>
    <row r="249" spans="1:36" s="6" customFormat="1" ht="15" hidden="1" customHeight="1">
      <c r="A249" s="106"/>
      <c r="B249" s="106"/>
      <c r="C249" s="106"/>
      <c r="D249" s="106"/>
      <c r="E249" s="106"/>
      <c r="F249" s="106"/>
      <c r="G249" s="106"/>
      <c r="H249" s="106"/>
      <c r="I249" s="106"/>
      <c r="J249" s="106"/>
      <c r="K249" s="106"/>
      <c r="L249" s="106"/>
      <c r="M249" s="106"/>
      <c r="N249" s="106"/>
      <c r="O249" s="106"/>
      <c r="P249" s="106"/>
      <c r="Q249" s="106"/>
      <c r="R249" s="106"/>
      <c r="S249" s="106"/>
      <c r="T249" s="106"/>
      <c r="U249" s="106"/>
      <c r="V249" s="106"/>
      <c r="W249" s="106"/>
      <c r="X249" s="106"/>
      <c r="Y249" s="106"/>
      <c r="Z249" s="106"/>
      <c r="AA249" s="106"/>
      <c r="AB249" s="106"/>
      <c r="AC249" s="106"/>
      <c r="AD249" s="106"/>
      <c r="AE249" s="106"/>
      <c r="AF249" s="106"/>
      <c r="AG249" s="106"/>
      <c r="AH249" s="106"/>
      <c r="AI249" s="106"/>
      <c r="AJ249" s="106"/>
    </row>
    <row r="250" spans="1:36" s="6" customFormat="1" ht="15" hidden="1" customHeight="1">
      <c r="A250" s="106"/>
      <c r="B250" s="106"/>
      <c r="C250" s="106"/>
      <c r="D250" s="106"/>
      <c r="E250" s="106"/>
      <c r="F250" s="106"/>
      <c r="G250" s="106"/>
      <c r="H250" s="106"/>
      <c r="I250" s="106"/>
      <c r="J250" s="106"/>
      <c r="K250" s="106"/>
      <c r="L250" s="106"/>
      <c r="M250" s="106"/>
      <c r="N250" s="106"/>
      <c r="O250" s="106"/>
      <c r="P250" s="106"/>
      <c r="Q250" s="106"/>
      <c r="R250" s="106"/>
      <c r="S250" s="106"/>
      <c r="T250" s="106"/>
      <c r="U250" s="106"/>
      <c r="V250" s="106"/>
      <c r="W250" s="106"/>
      <c r="X250" s="106"/>
      <c r="Y250" s="106"/>
      <c r="Z250" s="106"/>
      <c r="AA250" s="106"/>
      <c r="AB250" s="106"/>
      <c r="AC250" s="106"/>
      <c r="AD250" s="106"/>
      <c r="AE250" s="106"/>
      <c r="AF250" s="106"/>
      <c r="AG250" s="106"/>
      <c r="AH250" s="106"/>
      <c r="AI250" s="106"/>
      <c r="AJ250" s="106"/>
    </row>
    <row r="251" spans="1:36" s="6" customFormat="1" ht="15" hidden="1" customHeight="1">
      <c r="A251" s="106"/>
      <c r="B251" s="106"/>
      <c r="C251" s="106"/>
      <c r="D251" s="106"/>
      <c r="E251" s="106"/>
      <c r="F251" s="106"/>
      <c r="G251" s="106"/>
      <c r="H251" s="106"/>
      <c r="I251" s="106"/>
      <c r="J251" s="106"/>
      <c r="K251" s="106"/>
      <c r="L251" s="106"/>
      <c r="M251" s="106"/>
      <c r="N251" s="106"/>
      <c r="O251" s="106"/>
      <c r="P251" s="106"/>
      <c r="Q251" s="106"/>
      <c r="R251" s="106"/>
      <c r="S251" s="106"/>
      <c r="T251" s="106"/>
      <c r="U251" s="106"/>
      <c r="V251" s="106"/>
      <c r="W251" s="106"/>
      <c r="X251" s="106"/>
      <c r="Y251" s="106"/>
      <c r="Z251" s="106"/>
      <c r="AA251" s="106"/>
      <c r="AB251" s="106"/>
      <c r="AC251" s="106"/>
      <c r="AD251" s="106"/>
      <c r="AE251" s="106"/>
      <c r="AF251" s="106"/>
      <c r="AG251" s="106"/>
      <c r="AH251" s="106"/>
      <c r="AI251" s="106"/>
      <c r="AJ251" s="106"/>
    </row>
    <row r="252" spans="1:36" ht="15" hidden="1"/>
    <row r="253" spans="1:36" ht="15" hidden="1"/>
    <row r="254" spans="1:36" ht="15" hidden="1"/>
    <row r="255" spans="1:36" s="6" customFormat="1" ht="15" hidden="1" customHeight="1">
      <c r="A255" s="106"/>
      <c r="B255" s="106"/>
      <c r="C255" s="106"/>
      <c r="D255" s="106"/>
      <c r="E255" s="106"/>
      <c r="F255" s="106"/>
      <c r="G255" s="106"/>
      <c r="H255" s="106"/>
      <c r="I255" s="106"/>
      <c r="J255" s="106"/>
      <c r="K255" s="106"/>
      <c r="L255" s="106"/>
      <c r="M255" s="106"/>
      <c r="N255" s="106"/>
      <c r="O255" s="106"/>
      <c r="P255" s="106"/>
      <c r="Q255" s="106"/>
      <c r="R255" s="106"/>
      <c r="S255" s="106"/>
      <c r="T255" s="106"/>
      <c r="U255" s="106"/>
      <c r="V255" s="106"/>
      <c r="W255" s="106"/>
      <c r="X255" s="106"/>
      <c r="Y255" s="106"/>
      <c r="Z255" s="106"/>
      <c r="AA255" s="106"/>
      <c r="AB255" s="106"/>
      <c r="AC255" s="106"/>
      <c r="AD255" s="106"/>
      <c r="AE255" s="106"/>
      <c r="AF255" s="106"/>
      <c r="AG255" s="106"/>
      <c r="AH255" s="106"/>
      <c r="AI255" s="106"/>
      <c r="AJ255" s="106"/>
    </row>
    <row r="256" spans="1:36" s="6" customFormat="1" ht="15" hidden="1" customHeight="1">
      <c r="A256" s="106"/>
      <c r="B256" s="106"/>
      <c r="C256" s="106"/>
      <c r="D256" s="106"/>
      <c r="E256" s="106"/>
      <c r="F256" s="106"/>
      <c r="G256" s="106"/>
      <c r="H256" s="106"/>
      <c r="I256" s="106"/>
      <c r="J256" s="106"/>
      <c r="K256" s="106"/>
      <c r="L256" s="106"/>
      <c r="M256" s="106"/>
      <c r="N256" s="106"/>
      <c r="O256" s="106"/>
      <c r="P256" s="106"/>
      <c r="Q256" s="106"/>
      <c r="R256" s="106"/>
      <c r="S256" s="106"/>
      <c r="T256" s="106"/>
      <c r="U256" s="106"/>
      <c r="V256" s="106"/>
      <c r="W256" s="106"/>
      <c r="X256" s="106"/>
      <c r="Y256" s="106"/>
      <c r="Z256" s="106"/>
      <c r="AA256" s="106"/>
      <c r="AB256" s="106"/>
      <c r="AC256" s="106"/>
      <c r="AD256" s="106"/>
      <c r="AE256" s="106"/>
      <c r="AF256" s="106"/>
      <c r="AG256" s="106"/>
      <c r="AH256" s="106"/>
      <c r="AI256" s="106"/>
      <c r="AJ256" s="106"/>
    </row>
    <row r="257" spans="1:36" s="6" customFormat="1" ht="15" hidden="1" customHeight="1">
      <c r="A257" s="106"/>
      <c r="B257" s="106"/>
      <c r="C257" s="106"/>
      <c r="D257" s="106"/>
      <c r="E257" s="106"/>
      <c r="F257" s="106"/>
      <c r="G257" s="106"/>
      <c r="H257" s="106"/>
      <c r="I257" s="106"/>
      <c r="J257" s="106"/>
      <c r="K257" s="106"/>
      <c r="L257" s="106"/>
      <c r="M257" s="106"/>
      <c r="N257" s="106"/>
      <c r="O257" s="106"/>
      <c r="P257" s="106"/>
      <c r="Q257" s="106"/>
      <c r="R257" s="106"/>
      <c r="S257" s="106"/>
      <c r="T257" s="106"/>
      <c r="U257" s="106"/>
      <c r="V257" s="106"/>
      <c r="W257" s="106"/>
      <c r="X257" s="106"/>
      <c r="Y257" s="106"/>
      <c r="Z257" s="106"/>
      <c r="AA257" s="106"/>
      <c r="AB257" s="106"/>
      <c r="AC257" s="106"/>
      <c r="AD257" s="106"/>
      <c r="AE257" s="106"/>
      <c r="AF257" s="106"/>
      <c r="AG257" s="106"/>
      <c r="AH257" s="106"/>
      <c r="AI257" s="106"/>
      <c r="AJ257" s="106"/>
    </row>
    <row r="258" spans="1:36" s="6" customFormat="1" ht="15" hidden="1" customHeight="1">
      <c r="A258" s="106"/>
      <c r="B258" s="106"/>
      <c r="C258" s="106"/>
      <c r="D258" s="106"/>
      <c r="E258" s="106"/>
      <c r="F258" s="106"/>
      <c r="G258" s="106"/>
      <c r="H258" s="106"/>
      <c r="I258" s="106"/>
      <c r="J258" s="106"/>
      <c r="K258" s="106"/>
      <c r="L258" s="106"/>
      <c r="M258" s="106"/>
      <c r="N258" s="106"/>
      <c r="O258" s="106"/>
      <c r="P258" s="106"/>
      <c r="Q258" s="106"/>
      <c r="R258" s="106"/>
      <c r="S258" s="106"/>
      <c r="T258" s="106"/>
      <c r="U258" s="106"/>
      <c r="V258" s="106"/>
      <c r="W258" s="106"/>
      <c r="X258" s="106"/>
      <c r="Y258" s="106"/>
      <c r="Z258" s="106"/>
      <c r="AA258" s="106"/>
      <c r="AB258" s="106"/>
      <c r="AC258" s="106"/>
      <c r="AD258" s="106"/>
      <c r="AE258" s="106"/>
      <c r="AF258" s="106"/>
      <c r="AG258" s="106"/>
      <c r="AH258" s="106"/>
      <c r="AI258" s="106"/>
      <c r="AJ258" s="106"/>
    </row>
    <row r="259" spans="1:36" s="6" customFormat="1" ht="15" hidden="1" customHeight="1">
      <c r="A259" s="106"/>
      <c r="B259" s="106"/>
      <c r="C259" s="106"/>
      <c r="D259" s="106"/>
      <c r="E259" s="106"/>
      <c r="F259" s="106"/>
      <c r="G259" s="106"/>
      <c r="H259" s="106"/>
      <c r="I259" s="106"/>
      <c r="J259" s="106"/>
      <c r="K259" s="106"/>
      <c r="L259" s="106"/>
      <c r="M259" s="106"/>
      <c r="N259" s="106"/>
      <c r="O259" s="106"/>
      <c r="P259" s="106"/>
      <c r="Q259" s="106"/>
      <c r="R259" s="106"/>
      <c r="S259" s="106"/>
      <c r="T259" s="106"/>
      <c r="U259" s="106"/>
      <c r="V259" s="106"/>
      <c r="W259" s="106"/>
      <c r="X259" s="106"/>
      <c r="Y259" s="106"/>
      <c r="Z259" s="106"/>
      <c r="AA259" s="106"/>
      <c r="AB259" s="106"/>
      <c r="AC259" s="106"/>
      <c r="AD259" s="106"/>
      <c r="AE259" s="106"/>
      <c r="AF259" s="106"/>
      <c r="AG259" s="106"/>
      <c r="AH259" s="106"/>
      <c r="AI259" s="106"/>
      <c r="AJ259" s="106"/>
    </row>
    <row r="260" spans="1:36" s="6" customFormat="1" ht="15" hidden="1" customHeight="1">
      <c r="A260" s="106"/>
      <c r="B260" s="106"/>
      <c r="C260" s="106"/>
      <c r="D260" s="106"/>
      <c r="E260" s="106"/>
      <c r="F260" s="106"/>
      <c r="G260" s="106"/>
      <c r="H260" s="106"/>
      <c r="I260" s="106"/>
      <c r="J260" s="106"/>
      <c r="K260" s="106"/>
      <c r="L260" s="106"/>
      <c r="M260" s="106"/>
      <c r="N260" s="106"/>
      <c r="O260" s="106"/>
      <c r="P260" s="106"/>
      <c r="Q260" s="106"/>
      <c r="R260" s="106"/>
      <c r="S260" s="106"/>
      <c r="T260" s="106"/>
      <c r="U260" s="106"/>
      <c r="V260" s="106"/>
      <c r="W260" s="106"/>
      <c r="X260" s="106"/>
      <c r="Y260" s="106"/>
      <c r="Z260" s="106"/>
      <c r="AA260" s="106"/>
      <c r="AB260" s="106"/>
      <c r="AC260" s="106"/>
      <c r="AD260" s="106"/>
      <c r="AE260" s="106"/>
      <c r="AF260" s="106"/>
      <c r="AG260" s="106"/>
      <c r="AH260" s="106"/>
      <c r="AI260" s="106"/>
      <c r="AJ260" s="106"/>
    </row>
    <row r="261" spans="1:36" s="6" customFormat="1" ht="15" hidden="1" customHeight="1">
      <c r="A261" s="106"/>
      <c r="B261" s="106"/>
      <c r="C261" s="106"/>
      <c r="D261" s="106"/>
      <c r="E261" s="106"/>
      <c r="F261" s="106"/>
      <c r="G261" s="106"/>
      <c r="H261" s="106"/>
      <c r="I261" s="106"/>
      <c r="J261" s="106"/>
      <c r="K261" s="106"/>
      <c r="L261" s="106"/>
      <c r="M261" s="106"/>
      <c r="N261" s="106"/>
      <c r="O261" s="106"/>
      <c r="P261" s="106"/>
      <c r="Q261" s="106"/>
      <c r="R261" s="106"/>
      <c r="S261" s="106"/>
      <c r="T261" s="106"/>
      <c r="U261" s="106"/>
      <c r="V261" s="106"/>
      <c r="W261" s="106"/>
      <c r="X261" s="106"/>
      <c r="Y261" s="106"/>
      <c r="Z261" s="106"/>
      <c r="AA261" s="106"/>
      <c r="AB261" s="106"/>
      <c r="AC261" s="106"/>
      <c r="AD261" s="106"/>
      <c r="AE261" s="106"/>
      <c r="AF261" s="106"/>
      <c r="AG261" s="106"/>
      <c r="AH261" s="106"/>
      <c r="AI261" s="106"/>
      <c r="AJ261" s="106"/>
    </row>
    <row r="262" spans="1:36" s="6" customFormat="1" ht="15" hidden="1" customHeight="1">
      <c r="A262" s="106"/>
      <c r="B262" s="106"/>
      <c r="C262" s="106"/>
      <c r="D262" s="106"/>
      <c r="E262" s="106"/>
      <c r="F262" s="106"/>
      <c r="G262" s="106"/>
      <c r="H262" s="106"/>
      <c r="I262" s="106"/>
      <c r="J262" s="106"/>
      <c r="K262" s="106"/>
      <c r="L262" s="106"/>
      <c r="M262" s="106"/>
      <c r="N262" s="106"/>
      <c r="O262" s="106"/>
      <c r="P262" s="106"/>
      <c r="Q262" s="106"/>
      <c r="R262" s="106"/>
      <c r="S262" s="106"/>
      <c r="T262" s="106"/>
      <c r="U262" s="106"/>
      <c r="V262" s="106"/>
      <c r="W262" s="106"/>
      <c r="X262" s="106"/>
      <c r="Y262" s="106"/>
      <c r="Z262" s="106"/>
      <c r="AA262" s="106"/>
      <c r="AB262" s="106"/>
      <c r="AC262" s="106"/>
      <c r="AD262" s="106"/>
      <c r="AE262" s="106"/>
      <c r="AF262" s="106"/>
      <c r="AG262" s="106"/>
      <c r="AH262" s="106"/>
      <c r="AI262" s="106"/>
      <c r="AJ262" s="106"/>
    </row>
    <row r="263" spans="1:36" s="6" customFormat="1" ht="15" hidden="1" customHeight="1">
      <c r="A263" s="106"/>
      <c r="B263" s="106"/>
      <c r="C263" s="106"/>
      <c r="D263" s="106"/>
      <c r="E263" s="106"/>
      <c r="F263" s="106"/>
      <c r="G263" s="106"/>
      <c r="H263" s="106"/>
      <c r="I263" s="106"/>
      <c r="J263" s="106"/>
      <c r="K263" s="106"/>
      <c r="L263" s="106"/>
      <c r="M263" s="106"/>
      <c r="N263" s="106"/>
      <c r="O263" s="106"/>
      <c r="P263" s="106"/>
      <c r="Q263" s="106"/>
      <c r="R263" s="106"/>
      <c r="S263" s="106"/>
      <c r="T263" s="106"/>
      <c r="U263" s="106"/>
      <c r="V263" s="106"/>
      <c r="W263" s="106"/>
      <c r="X263" s="106"/>
      <c r="Y263" s="106"/>
      <c r="Z263" s="106"/>
      <c r="AA263" s="106"/>
      <c r="AB263" s="106"/>
      <c r="AC263" s="106"/>
      <c r="AD263" s="106"/>
      <c r="AE263" s="106"/>
      <c r="AF263" s="106"/>
      <c r="AG263" s="106"/>
      <c r="AH263" s="106"/>
      <c r="AI263" s="106"/>
      <c r="AJ263" s="106"/>
    </row>
    <row r="264" spans="1:36" s="6" customFormat="1" ht="15" hidden="1" customHeight="1">
      <c r="A264" s="106"/>
      <c r="B264" s="106"/>
      <c r="C264" s="106"/>
      <c r="D264" s="106"/>
      <c r="E264" s="106"/>
      <c r="F264" s="106"/>
      <c r="G264" s="106"/>
      <c r="H264" s="106"/>
      <c r="I264" s="106"/>
      <c r="J264" s="106"/>
      <c r="K264" s="106"/>
      <c r="L264" s="106"/>
      <c r="M264" s="106"/>
      <c r="N264" s="106"/>
      <c r="O264" s="106"/>
      <c r="P264" s="106"/>
      <c r="Q264" s="106"/>
      <c r="R264" s="106"/>
      <c r="S264" s="106"/>
      <c r="T264" s="106"/>
      <c r="U264" s="106"/>
      <c r="V264" s="106"/>
      <c r="W264" s="106"/>
      <c r="X264" s="106"/>
      <c r="Y264" s="106"/>
      <c r="Z264" s="106"/>
      <c r="AA264" s="106"/>
      <c r="AB264" s="106"/>
      <c r="AC264" s="106"/>
      <c r="AD264" s="106"/>
      <c r="AE264" s="106"/>
      <c r="AF264" s="106"/>
      <c r="AG264" s="106"/>
      <c r="AH264" s="106"/>
      <c r="AI264" s="106"/>
      <c r="AJ264" s="106"/>
    </row>
    <row r="265" spans="1:36" s="6" customFormat="1" ht="15" hidden="1" customHeight="1">
      <c r="A265" s="106"/>
      <c r="B265" s="106"/>
      <c r="C265" s="106"/>
      <c r="D265" s="106"/>
      <c r="E265" s="106"/>
      <c r="F265" s="106"/>
      <c r="G265" s="106"/>
      <c r="H265" s="106"/>
      <c r="I265" s="106"/>
      <c r="J265" s="106"/>
      <c r="K265" s="106"/>
      <c r="L265" s="106"/>
      <c r="M265" s="106"/>
      <c r="N265" s="106"/>
      <c r="O265" s="106"/>
      <c r="P265" s="106"/>
      <c r="Q265" s="106"/>
      <c r="R265" s="106"/>
      <c r="S265" s="106"/>
      <c r="T265" s="106"/>
      <c r="U265" s="106"/>
      <c r="V265" s="106"/>
      <c r="W265" s="106"/>
      <c r="X265" s="106"/>
      <c r="Y265" s="106"/>
      <c r="Z265" s="106"/>
      <c r="AA265" s="106"/>
      <c r="AB265" s="106"/>
      <c r="AC265" s="106"/>
      <c r="AD265" s="106"/>
      <c r="AE265" s="106"/>
      <c r="AF265" s="106"/>
      <c r="AG265" s="106"/>
      <c r="AH265" s="106"/>
      <c r="AI265" s="106"/>
      <c r="AJ265" s="106"/>
    </row>
    <row r="266" spans="1:36" s="6" customFormat="1" ht="15" hidden="1" customHeight="1">
      <c r="A266" s="106"/>
      <c r="B266" s="106"/>
      <c r="C266" s="106"/>
      <c r="D266" s="106"/>
      <c r="E266" s="106"/>
      <c r="F266" s="106"/>
      <c r="G266" s="106"/>
      <c r="H266" s="106"/>
      <c r="I266" s="106"/>
      <c r="J266" s="106"/>
      <c r="K266" s="106"/>
      <c r="L266" s="106"/>
      <c r="M266" s="106"/>
      <c r="N266" s="106"/>
      <c r="O266" s="106"/>
      <c r="P266" s="106"/>
      <c r="Q266" s="106"/>
      <c r="R266" s="106"/>
      <c r="S266" s="106"/>
      <c r="T266" s="106"/>
      <c r="U266" s="106"/>
      <c r="V266" s="106"/>
      <c r="W266" s="106"/>
      <c r="X266" s="106"/>
      <c r="Y266" s="106"/>
      <c r="Z266" s="106"/>
      <c r="AA266" s="106"/>
      <c r="AB266" s="106"/>
      <c r="AC266" s="106"/>
      <c r="AD266" s="106"/>
      <c r="AE266" s="106"/>
      <c r="AF266" s="106"/>
      <c r="AG266" s="106"/>
      <c r="AH266" s="106"/>
      <c r="AI266" s="106"/>
      <c r="AJ266" s="106"/>
    </row>
    <row r="267" spans="1:36" s="6" customFormat="1" ht="15" hidden="1" customHeight="1">
      <c r="A267" s="106"/>
      <c r="B267" s="106"/>
      <c r="C267" s="106"/>
      <c r="D267" s="106"/>
      <c r="E267" s="106"/>
      <c r="F267" s="106"/>
      <c r="G267" s="106"/>
      <c r="H267" s="106"/>
      <c r="I267" s="106"/>
      <c r="J267" s="106"/>
      <c r="K267" s="106"/>
      <c r="L267" s="106"/>
      <c r="M267" s="106"/>
      <c r="N267" s="106"/>
      <c r="O267" s="106"/>
      <c r="P267" s="106"/>
      <c r="Q267" s="106"/>
      <c r="R267" s="106"/>
      <c r="S267" s="106"/>
      <c r="T267" s="106"/>
      <c r="U267" s="106"/>
      <c r="V267" s="106"/>
      <c r="W267" s="106"/>
      <c r="X267" s="106"/>
      <c r="Y267" s="106"/>
      <c r="Z267" s="106"/>
      <c r="AA267" s="106"/>
      <c r="AB267" s="106"/>
      <c r="AC267" s="106"/>
      <c r="AD267" s="106"/>
      <c r="AE267" s="106"/>
      <c r="AF267" s="106"/>
      <c r="AG267" s="106"/>
      <c r="AH267" s="106"/>
      <c r="AI267" s="106"/>
      <c r="AJ267" s="106"/>
    </row>
    <row r="268" spans="1:36" s="6" customFormat="1" ht="15" hidden="1" customHeight="1">
      <c r="A268" s="106"/>
      <c r="B268" s="106"/>
      <c r="C268" s="106"/>
      <c r="D268" s="106"/>
      <c r="E268" s="106"/>
      <c r="F268" s="106"/>
      <c r="G268" s="106"/>
      <c r="H268" s="106"/>
      <c r="I268" s="106"/>
      <c r="J268" s="106"/>
      <c r="K268" s="106"/>
      <c r="L268" s="106"/>
      <c r="M268" s="106"/>
      <c r="N268" s="106"/>
      <c r="O268" s="106"/>
      <c r="P268" s="106"/>
      <c r="Q268" s="106"/>
      <c r="R268" s="106"/>
      <c r="S268" s="106"/>
      <c r="T268" s="106"/>
      <c r="U268" s="106"/>
      <c r="V268" s="106"/>
      <c r="W268" s="106"/>
      <c r="X268" s="106"/>
      <c r="Y268" s="106"/>
      <c r="Z268" s="106"/>
      <c r="AA268" s="106"/>
      <c r="AB268" s="106"/>
      <c r="AC268" s="106"/>
      <c r="AD268" s="106"/>
      <c r="AE268" s="106"/>
      <c r="AF268" s="106"/>
      <c r="AG268" s="106"/>
      <c r="AH268" s="106"/>
      <c r="AI268" s="106"/>
      <c r="AJ268" s="106"/>
    </row>
    <row r="269" spans="1:36" s="6" customFormat="1" ht="15" hidden="1" customHeight="1">
      <c r="A269" s="106"/>
      <c r="B269" s="106"/>
      <c r="C269" s="106"/>
      <c r="D269" s="106"/>
      <c r="E269" s="106"/>
      <c r="F269" s="106"/>
      <c r="G269" s="106"/>
      <c r="H269" s="106"/>
      <c r="I269" s="106"/>
      <c r="J269" s="106"/>
      <c r="K269" s="106"/>
      <c r="L269" s="106"/>
      <c r="M269" s="106"/>
      <c r="N269" s="106"/>
      <c r="O269" s="106"/>
      <c r="P269" s="106"/>
      <c r="Q269" s="106"/>
      <c r="R269" s="106"/>
      <c r="S269" s="106"/>
      <c r="T269" s="106"/>
      <c r="U269" s="106"/>
      <c r="V269" s="106"/>
      <c r="W269" s="106"/>
      <c r="X269" s="106"/>
      <c r="Y269" s="106"/>
      <c r="Z269" s="106"/>
      <c r="AA269" s="106"/>
      <c r="AB269" s="106"/>
      <c r="AC269" s="106"/>
      <c r="AD269" s="106"/>
      <c r="AE269" s="106"/>
      <c r="AF269" s="106"/>
      <c r="AG269" s="106"/>
      <c r="AH269" s="106"/>
      <c r="AI269" s="106"/>
      <c r="AJ269" s="106"/>
    </row>
    <row r="270" spans="1:36" s="6" customFormat="1" ht="15" hidden="1" customHeight="1">
      <c r="A270" s="106"/>
      <c r="B270" s="106"/>
      <c r="C270" s="106"/>
      <c r="D270" s="106"/>
      <c r="E270" s="106"/>
      <c r="F270" s="106"/>
      <c r="G270" s="106"/>
      <c r="H270" s="106"/>
      <c r="I270" s="106"/>
      <c r="J270" s="106"/>
      <c r="K270" s="106"/>
      <c r="L270" s="106"/>
      <c r="M270" s="106"/>
      <c r="N270" s="106"/>
      <c r="O270" s="106"/>
      <c r="P270" s="106"/>
      <c r="Q270" s="106"/>
      <c r="R270" s="106"/>
      <c r="S270" s="106"/>
      <c r="T270" s="106"/>
      <c r="U270" s="106"/>
      <c r="V270" s="106"/>
      <c r="W270" s="106"/>
      <c r="X270" s="106"/>
      <c r="Y270" s="106"/>
      <c r="Z270" s="106"/>
      <c r="AA270" s="106"/>
      <c r="AB270" s="106"/>
      <c r="AC270" s="106"/>
      <c r="AD270" s="106"/>
      <c r="AE270" s="106"/>
      <c r="AF270" s="106"/>
      <c r="AG270" s="106"/>
      <c r="AH270" s="106"/>
      <c r="AI270" s="106"/>
      <c r="AJ270" s="106"/>
    </row>
    <row r="271" spans="1:36" s="6" customFormat="1" ht="15" hidden="1" customHeight="1">
      <c r="A271" s="106"/>
      <c r="B271" s="106"/>
      <c r="C271" s="106"/>
      <c r="D271" s="106"/>
      <c r="E271" s="106"/>
      <c r="F271" s="106"/>
      <c r="G271" s="106"/>
      <c r="H271" s="106"/>
      <c r="I271" s="106"/>
      <c r="J271" s="106"/>
      <c r="K271" s="106"/>
      <c r="L271" s="106"/>
      <c r="M271" s="106"/>
      <c r="N271" s="106"/>
      <c r="O271" s="106"/>
      <c r="P271" s="106"/>
      <c r="Q271" s="106"/>
      <c r="R271" s="106"/>
      <c r="S271" s="106"/>
      <c r="T271" s="106"/>
      <c r="U271" s="106"/>
      <c r="V271" s="106"/>
      <c r="W271" s="106"/>
      <c r="X271" s="106"/>
      <c r="Y271" s="106"/>
      <c r="Z271" s="106"/>
      <c r="AA271" s="106"/>
      <c r="AB271" s="106"/>
      <c r="AC271" s="106"/>
      <c r="AD271" s="106"/>
      <c r="AE271" s="106"/>
      <c r="AF271" s="106"/>
      <c r="AG271" s="106"/>
      <c r="AH271" s="106"/>
      <c r="AI271" s="106"/>
      <c r="AJ271" s="106"/>
    </row>
    <row r="272" spans="1:36" s="6" customFormat="1" ht="15" hidden="1" customHeight="1">
      <c r="A272" s="106"/>
      <c r="B272" s="106"/>
      <c r="C272" s="106"/>
      <c r="D272" s="106"/>
      <c r="E272" s="106"/>
      <c r="F272" s="106"/>
      <c r="G272" s="106"/>
      <c r="H272" s="106"/>
      <c r="I272" s="106"/>
      <c r="J272" s="106"/>
      <c r="K272" s="106"/>
      <c r="L272" s="106"/>
      <c r="M272" s="106"/>
      <c r="N272" s="106"/>
      <c r="O272" s="106"/>
      <c r="P272" s="106"/>
      <c r="Q272" s="106"/>
      <c r="R272" s="106"/>
      <c r="S272" s="106"/>
      <c r="T272" s="106"/>
      <c r="U272" s="106"/>
      <c r="V272" s="106"/>
      <c r="W272" s="106"/>
      <c r="X272" s="106"/>
      <c r="Y272" s="106"/>
      <c r="Z272" s="106"/>
      <c r="AA272" s="106"/>
      <c r="AB272" s="106"/>
      <c r="AC272" s="106"/>
      <c r="AD272" s="106"/>
      <c r="AE272" s="106"/>
      <c r="AF272" s="106"/>
      <c r="AG272" s="106"/>
      <c r="AH272" s="106"/>
      <c r="AI272" s="106"/>
      <c r="AJ272" s="106"/>
    </row>
    <row r="273" spans="1:36" s="6" customFormat="1" ht="15" hidden="1" customHeight="1">
      <c r="A273" s="106"/>
      <c r="B273" s="106"/>
      <c r="C273" s="106"/>
      <c r="D273" s="106"/>
      <c r="E273" s="106"/>
      <c r="F273" s="106"/>
      <c r="G273" s="106"/>
      <c r="H273" s="106"/>
      <c r="I273" s="106"/>
      <c r="J273" s="106"/>
      <c r="K273" s="106"/>
      <c r="L273" s="106"/>
      <c r="M273" s="106"/>
      <c r="N273" s="106"/>
      <c r="O273" s="106"/>
      <c r="P273" s="106"/>
      <c r="Q273" s="106"/>
      <c r="R273" s="106"/>
      <c r="S273" s="106"/>
      <c r="T273" s="106"/>
      <c r="U273" s="106"/>
      <c r="V273" s="106"/>
      <c r="W273" s="106"/>
      <c r="X273" s="106"/>
      <c r="Y273" s="106"/>
      <c r="Z273" s="106"/>
      <c r="AA273" s="106"/>
      <c r="AB273" s="106"/>
      <c r="AC273" s="106"/>
      <c r="AD273" s="106"/>
      <c r="AE273" s="106"/>
      <c r="AF273" s="106"/>
      <c r="AG273" s="106"/>
      <c r="AH273" s="106"/>
      <c r="AI273" s="106"/>
      <c r="AJ273" s="106"/>
    </row>
    <row r="274" spans="1:36" s="6" customFormat="1" ht="15" hidden="1" customHeight="1">
      <c r="A274" s="106"/>
      <c r="B274" s="106"/>
      <c r="C274" s="106"/>
      <c r="D274" s="106"/>
      <c r="E274" s="106"/>
      <c r="F274" s="106"/>
      <c r="G274" s="106"/>
      <c r="H274" s="106"/>
      <c r="I274" s="106"/>
      <c r="J274" s="106"/>
      <c r="K274" s="106"/>
      <c r="L274" s="106"/>
      <c r="M274" s="106"/>
      <c r="N274" s="106"/>
      <c r="O274" s="106"/>
      <c r="P274" s="106"/>
      <c r="Q274" s="106"/>
      <c r="R274" s="106"/>
      <c r="S274" s="106"/>
      <c r="T274" s="106"/>
      <c r="U274" s="106"/>
      <c r="V274" s="106"/>
      <c r="W274" s="106"/>
      <c r="X274" s="106"/>
      <c r="Y274" s="106"/>
      <c r="Z274" s="106"/>
      <c r="AA274" s="106"/>
      <c r="AB274" s="106"/>
      <c r="AC274" s="106"/>
      <c r="AD274" s="106"/>
      <c r="AE274" s="106"/>
      <c r="AF274" s="106"/>
      <c r="AG274" s="106"/>
      <c r="AH274" s="106"/>
      <c r="AI274" s="106"/>
      <c r="AJ274" s="106"/>
    </row>
    <row r="275" spans="1:36" s="6" customFormat="1" ht="15" hidden="1" customHeight="1">
      <c r="A275" s="106"/>
      <c r="B275" s="106"/>
      <c r="C275" s="106"/>
      <c r="D275" s="106"/>
      <c r="E275" s="106"/>
      <c r="F275" s="106"/>
      <c r="G275" s="106"/>
      <c r="H275" s="106"/>
      <c r="I275" s="106"/>
      <c r="J275" s="106"/>
      <c r="K275" s="106"/>
      <c r="L275" s="106"/>
      <c r="M275" s="106"/>
      <c r="N275" s="106"/>
      <c r="O275" s="106"/>
      <c r="P275" s="106"/>
      <c r="Q275" s="106"/>
      <c r="R275" s="106"/>
      <c r="S275" s="106"/>
      <c r="T275" s="106"/>
      <c r="U275" s="106"/>
      <c r="V275" s="106"/>
      <c r="W275" s="106"/>
      <c r="X275" s="106"/>
      <c r="Y275" s="106"/>
      <c r="Z275" s="106"/>
      <c r="AA275" s="106"/>
      <c r="AB275" s="106"/>
      <c r="AC275" s="106"/>
      <c r="AD275" s="106"/>
      <c r="AE275" s="106"/>
      <c r="AF275" s="106"/>
      <c r="AG275" s="106"/>
      <c r="AH275" s="106"/>
      <c r="AI275" s="106"/>
      <c r="AJ275" s="106"/>
    </row>
    <row r="276" spans="1:36" s="6" customFormat="1" ht="15" hidden="1" customHeight="1">
      <c r="A276" s="106"/>
      <c r="B276" s="106"/>
      <c r="C276" s="106"/>
      <c r="D276" s="106"/>
      <c r="E276" s="106"/>
      <c r="F276" s="106"/>
      <c r="G276" s="106"/>
      <c r="H276" s="106"/>
      <c r="I276" s="106"/>
      <c r="J276" s="106"/>
      <c r="K276" s="106"/>
      <c r="L276" s="106"/>
      <c r="M276" s="106"/>
      <c r="N276" s="106"/>
      <c r="O276" s="106"/>
      <c r="P276" s="106"/>
      <c r="Q276" s="106"/>
      <c r="R276" s="106"/>
      <c r="S276" s="106"/>
      <c r="T276" s="106"/>
      <c r="U276" s="106"/>
      <c r="V276" s="106"/>
      <c r="W276" s="106"/>
      <c r="X276" s="106"/>
      <c r="Y276" s="106"/>
      <c r="Z276" s="106"/>
      <c r="AA276" s="106"/>
      <c r="AB276" s="106"/>
      <c r="AC276" s="106"/>
      <c r="AD276" s="106"/>
      <c r="AE276" s="106"/>
      <c r="AF276" s="106"/>
      <c r="AG276" s="106"/>
      <c r="AH276" s="106"/>
      <c r="AI276" s="106"/>
      <c r="AJ276" s="106"/>
    </row>
    <row r="277" spans="1:36" s="6" customFormat="1" ht="15" hidden="1" customHeight="1">
      <c r="A277" s="106"/>
      <c r="B277" s="106"/>
      <c r="C277" s="106"/>
      <c r="D277" s="106"/>
      <c r="E277" s="106"/>
      <c r="F277" s="106"/>
      <c r="G277" s="106"/>
      <c r="H277" s="106"/>
      <c r="I277" s="106"/>
      <c r="J277" s="106"/>
      <c r="K277" s="106"/>
      <c r="L277" s="106"/>
      <c r="M277" s="106"/>
      <c r="N277" s="106"/>
      <c r="O277" s="106"/>
      <c r="P277" s="106"/>
      <c r="Q277" s="106"/>
      <c r="R277" s="106"/>
      <c r="S277" s="106"/>
      <c r="T277" s="106"/>
      <c r="U277" s="106"/>
      <c r="V277" s="106"/>
      <c r="W277" s="106"/>
      <c r="X277" s="106"/>
      <c r="Y277" s="106"/>
      <c r="Z277" s="106"/>
      <c r="AA277" s="106"/>
      <c r="AB277" s="106"/>
      <c r="AC277" s="106"/>
      <c r="AD277" s="106"/>
      <c r="AE277" s="106"/>
      <c r="AF277" s="106"/>
      <c r="AG277" s="106"/>
      <c r="AH277" s="106"/>
      <c r="AI277" s="106"/>
      <c r="AJ277" s="106"/>
    </row>
    <row r="278" spans="1:36" s="6" customFormat="1" ht="15" hidden="1" customHeight="1">
      <c r="A278" s="106"/>
      <c r="B278" s="106"/>
      <c r="C278" s="106"/>
      <c r="D278" s="106"/>
      <c r="E278" s="106"/>
      <c r="F278" s="106"/>
      <c r="G278" s="106"/>
      <c r="H278" s="106"/>
      <c r="I278" s="106"/>
      <c r="J278" s="106"/>
      <c r="K278" s="106"/>
      <c r="L278" s="106"/>
      <c r="M278" s="106"/>
      <c r="N278" s="106"/>
      <c r="O278" s="106"/>
      <c r="P278" s="106"/>
      <c r="Q278" s="106"/>
      <c r="R278" s="106"/>
      <c r="S278" s="106"/>
      <c r="T278" s="106"/>
      <c r="U278" s="106"/>
      <c r="V278" s="106"/>
      <c r="W278" s="106"/>
      <c r="X278" s="106"/>
      <c r="Y278" s="106"/>
      <c r="Z278" s="106"/>
      <c r="AA278" s="106"/>
      <c r="AB278" s="106"/>
      <c r="AC278" s="106"/>
      <c r="AD278" s="106"/>
      <c r="AE278" s="106"/>
      <c r="AF278" s="106"/>
      <c r="AG278" s="106"/>
      <c r="AH278" s="106"/>
      <c r="AI278" s="106"/>
      <c r="AJ278" s="106"/>
    </row>
    <row r="279" spans="1:36" s="6" customFormat="1" ht="15" hidden="1" customHeight="1">
      <c r="A279" s="106"/>
      <c r="B279" s="106"/>
      <c r="C279" s="106"/>
      <c r="D279" s="106"/>
      <c r="E279" s="106"/>
      <c r="F279" s="106"/>
      <c r="G279" s="106"/>
      <c r="H279" s="106"/>
      <c r="I279" s="106"/>
      <c r="J279" s="106"/>
      <c r="K279" s="106"/>
      <c r="L279" s="106"/>
      <c r="M279" s="106"/>
      <c r="N279" s="106"/>
      <c r="O279" s="106"/>
      <c r="P279" s="106"/>
      <c r="Q279" s="106"/>
      <c r="R279" s="106"/>
      <c r="S279" s="106"/>
      <c r="T279" s="106"/>
      <c r="U279" s="106"/>
      <c r="V279" s="106"/>
      <c r="W279" s="106"/>
      <c r="X279" s="106"/>
      <c r="Y279" s="106"/>
      <c r="Z279" s="106"/>
      <c r="AA279" s="106"/>
      <c r="AB279" s="106"/>
      <c r="AC279" s="106"/>
      <c r="AD279" s="106"/>
      <c r="AE279" s="106"/>
      <c r="AF279" s="106"/>
      <c r="AG279" s="106"/>
      <c r="AH279" s="106"/>
      <c r="AI279" s="106"/>
      <c r="AJ279" s="106"/>
    </row>
    <row r="280" spans="1:36" s="6" customFormat="1" ht="15" hidden="1" customHeight="1">
      <c r="A280" s="106"/>
      <c r="B280" s="106"/>
      <c r="C280" s="106"/>
      <c r="D280" s="106"/>
      <c r="E280" s="106"/>
      <c r="F280" s="106"/>
      <c r="G280" s="106"/>
      <c r="H280" s="106"/>
      <c r="I280" s="106"/>
      <c r="J280" s="106"/>
      <c r="K280" s="106"/>
      <c r="L280" s="106"/>
      <c r="M280" s="106"/>
      <c r="N280" s="106"/>
      <c r="O280" s="106"/>
      <c r="P280" s="106"/>
      <c r="Q280" s="106"/>
      <c r="R280" s="106"/>
      <c r="S280" s="106"/>
      <c r="T280" s="106"/>
      <c r="U280" s="106"/>
      <c r="V280" s="106"/>
      <c r="W280" s="106"/>
      <c r="X280" s="106"/>
      <c r="Y280" s="106"/>
      <c r="Z280" s="106"/>
      <c r="AA280" s="106"/>
      <c r="AB280" s="106"/>
      <c r="AC280" s="106"/>
      <c r="AD280" s="106"/>
      <c r="AE280" s="106"/>
      <c r="AF280" s="106"/>
      <c r="AG280" s="106"/>
      <c r="AH280" s="106"/>
      <c r="AI280" s="106"/>
      <c r="AJ280" s="106"/>
    </row>
    <row r="281" spans="1:36" s="6" customFormat="1" ht="15" hidden="1" customHeight="1">
      <c r="A281" s="106"/>
      <c r="B281" s="106"/>
      <c r="C281" s="106"/>
      <c r="D281" s="106"/>
      <c r="E281" s="106"/>
      <c r="F281" s="106"/>
      <c r="G281" s="106"/>
      <c r="H281" s="106"/>
      <c r="I281" s="106"/>
      <c r="J281" s="106"/>
      <c r="K281" s="106"/>
      <c r="L281" s="106"/>
      <c r="M281" s="106"/>
      <c r="N281" s="106"/>
      <c r="O281" s="106"/>
      <c r="P281" s="106"/>
      <c r="Q281" s="106"/>
      <c r="R281" s="106"/>
      <c r="S281" s="106"/>
      <c r="T281" s="106"/>
      <c r="U281" s="106"/>
      <c r="V281" s="106"/>
      <c r="W281" s="106"/>
      <c r="X281" s="106"/>
      <c r="Y281" s="106"/>
      <c r="Z281" s="106"/>
      <c r="AA281" s="106"/>
      <c r="AB281" s="106"/>
      <c r="AC281" s="106"/>
      <c r="AD281" s="106"/>
      <c r="AE281" s="106"/>
      <c r="AF281" s="106"/>
      <c r="AG281" s="106"/>
      <c r="AH281" s="106"/>
      <c r="AI281" s="106"/>
      <c r="AJ281" s="106"/>
    </row>
    <row r="282" spans="1:36" s="6" customFormat="1" ht="15" hidden="1" customHeight="1">
      <c r="A282" s="106"/>
      <c r="B282" s="106"/>
      <c r="C282" s="106"/>
      <c r="D282" s="106"/>
      <c r="E282" s="106"/>
      <c r="F282" s="106"/>
      <c r="G282" s="106"/>
      <c r="H282" s="106"/>
      <c r="I282" s="106"/>
      <c r="J282" s="106"/>
      <c r="K282" s="106"/>
      <c r="L282" s="106"/>
      <c r="M282" s="106"/>
      <c r="N282" s="106"/>
      <c r="O282" s="106"/>
      <c r="P282" s="106"/>
      <c r="Q282" s="106"/>
      <c r="R282" s="106"/>
      <c r="S282" s="106"/>
      <c r="T282" s="106"/>
      <c r="U282" s="106"/>
      <c r="V282" s="106"/>
      <c r="W282" s="106"/>
      <c r="X282" s="106"/>
      <c r="Y282" s="106"/>
      <c r="Z282" s="106"/>
      <c r="AA282" s="106"/>
      <c r="AB282" s="106"/>
      <c r="AC282" s="106"/>
      <c r="AD282" s="106"/>
      <c r="AE282" s="106"/>
      <c r="AF282" s="106"/>
      <c r="AG282" s="106"/>
      <c r="AH282" s="106"/>
      <c r="AI282" s="106"/>
      <c r="AJ282" s="106"/>
    </row>
    <row r="283" spans="1:36" s="6" customFormat="1" ht="15" hidden="1" customHeight="1">
      <c r="A283" s="106"/>
      <c r="B283" s="106"/>
      <c r="C283" s="106"/>
      <c r="D283" s="106"/>
      <c r="E283" s="106"/>
      <c r="F283" s="106"/>
      <c r="G283" s="106"/>
      <c r="H283" s="106"/>
      <c r="I283" s="106"/>
      <c r="J283" s="106"/>
      <c r="K283" s="106"/>
      <c r="L283" s="106"/>
      <c r="M283" s="106"/>
      <c r="N283" s="106"/>
      <c r="O283" s="106"/>
      <c r="P283" s="106"/>
      <c r="Q283" s="106"/>
      <c r="R283" s="106"/>
      <c r="S283" s="106"/>
      <c r="T283" s="106"/>
      <c r="U283" s="106"/>
      <c r="V283" s="106"/>
      <c r="W283" s="106"/>
      <c r="X283" s="106"/>
      <c r="Y283" s="106"/>
      <c r="Z283" s="106"/>
      <c r="AA283" s="106"/>
      <c r="AB283" s="106"/>
      <c r="AC283" s="106"/>
      <c r="AD283" s="106"/>
      <c r="AE283" s="106"/>
      <c r="AF283" s="106"/>
      <c r="AG283" s="106"/>
      <c r="AH283" s="106"/>
      <c r="AI283" s="106"/>
      <c r="AJ283" s="106"/>
    </row>
    <row r="284" spans="1:36" s="6" customFormat="1" ht="15" hidden="1" customHeight="1">
      <c r="A284" s="106"/>
      <c r="B284" s="106"/>
      <c r="C284" s="106"/>
      <c r="D284" s="106"/>
      <c r="E284" s="106"/>
      <c r="F284" s="106"/>
      <c r="G284" s="106"/>
      <c r="H284" s="106"/>
      <c r="I284" s="106"/>
      <c r="J284" s="106"/>
      <c r="K284" s="106"/>
      <c r="L284" s="106"/>
      <c r="M284" s="106"/>
      <c r="N284" s="106"/>
      <c r="O284" s="106"/>
      <c r="P284" s="106"/>
      <c r="Q284" s="106"/>
      <c r="R284" s="106"/>
      <c r="S284" s="106"/>
      <c r="T284" s="106"/>
      <c r="U284" s="106"/>
      <c r="V284" s="106"/>
      <c r="W284" s="106"/>
      <c r="X284" s="106"/>
      <c r="Y284" s="106"/>
      <c r="Z284" s="106"/>
      <c r="AA284" s="106"/>
      <c r="AB284" s="106"/>
      <c r="AC284" s="106"/>
      <c r="AD284" s="106"/>
      <c r="AE284" s="106"/>
      <c r="AF284" s="106"/>
      <c r="AG284" s="106"/>
      <c r="AH284" s="106"/>
      <c r="AI284" s="106"/>
      <c r="AJ284" s="106"/>
    </row>
    <row r="285" spans="1:36" s="6" customFormat="1" ht="15" hidden="1" customHeight="1">
      <c r="A285" s="106"/>
      <c r="B285" s="106"/>
      <c r="C285" s="106"/>
      <c r="D285" s="106"/>
      <c r="E285" s="106"/>
      <c r="F285" s="106"/>
      <c r="G285" s="106"/>
      <c r="H285" s="106"/>
      <c r="I285" s="106"/>
      <c r="J285" s="106"/>
      <c r="K285" s="106"/>
      <c r="L285" s="106"/>
      <c r="M285" s="106"/>
      <c r="N285" s="106"/>
      <c r="O285" s="106"/>
      <c r="P285" s="106"/>
      <c r="Q285" s="106"/>
      <c r="R285" s="106"/>
      <c r="S285" s="106"/>
      <c r="T285" s="106"/>
      <c r="U285" s="106"/>
      <c r="V285" s="106"/>
      <c r="W285" s="106"/>
      <c r="X285" s="106"/>
      <c r="Y285" s="106"/>
      <c r="Z285" s="106"/>
      <c r="AA285" s="106"/>
      <c r="AB285" s="106"/>
      <c r="AC285" s="106"/>
      <c r="AD285" s="106"/>
      <c r="AE285" s="106"/>
      <c r="AF285" s="106"/>
      <c r="AG285" s="106"/>
      <c r="AH285" s="106"/>
      <c r="AI285" s="106"/>
      <c r="AJ285" s="106"/>
    </row>
    <row r="286" spans="1:36" s="6" customFormat="1" ht="15" hidden="1" customHeight="1">
      <c r="A286" s="106"/>
      <c r="B286" s="106"/>
      <c r="C286" s="106"/>
      <c r="D286" s="106"/>
      <c r="E286" s="106"/>
      <c r="F286" s="106"/>
      <c r="G286" s="106"/>
      <c r="H286" s="106"/>
      <c r="I286" s="106"/>
      <c r="J286" s="106"/>
      <c r="K286" s="106"/>
      <c r="L286" s="106"/>
      <c r="M286" s="106"/>
      <c r="N286" s="106"/>
      <c r="O286" s="106"/>
      <c r="P286" s="106"/>
      <c r="Q286" s="106"/>
      <c r="R286" s="106"/>
      <c r="S286" s="106"/>
      <c r="T286" s="106"/>
      <c r="U286" s="106"/>
      <c r="V286" s="106"/>
      <c r="W286" s="106"/>
      <c r="X286" s="106"/>
      <c r="Y286" s="106"/>
      <c r="Z286" s="106"/>
      <c r="AA286" s="106"/>
      <c r="AB286" s="106"/>
      <c r="AC286" s="106"/>
      <c r="AD286" s="106"/>
      <c r="AE286" s="106"/>
      <c r="AF286" s="106"/>
      <c r="AG286" s="106"/>
      <c r="AH286" s="106"/>
      <c r="AI286" s="106"/>
      <c r="AJ286" s="106"/>
    </row>
    <row r="287" spans="1:36" s="6" customFormat="1" ht="15" hidden="1" customHeight="1">
      <c r="A287" s="106"/>
      <c r="B287" s="106"/>
      <c r="C287" s="106"/>
      <c r="D287" s="106"/>
      <c r="E287" s="106"/>
      <c r="F287" s="106"/>
      <c r="G287" s="106"/>
      <c r="H287" s="106"/>
      <c r="I287" s="106"/>
      <c r="J287" s="106"/>
      <c r="K287" s="106"/>
      <c r="L287" s="106"/>
      <c r="M287" s="106"/>
      <c r="N287" s="106"/>
      <c r="O287" s="106"/>
      <c r="P287" s="106"/>
      <c r="Q287" s="106"/>
      <c r="R287" s="106"/>
      <c r="S287" s="106"/>
      <c r="T287" s="106"/>
      <c r="U287" s="106"/>
      <c r="V287" s="106"/>
      <c r="W287" s="106"/>
      <c r="X287" s="106"/>
      <c r="Y287" s="106"/>
      <c r="Z287" s="106"/>
      <c r="AA287" s="106"/>
      <c r="AB287" s="106"/>
      <c r="AC287" s="106"/>
      <c r="AD287" s="106"/>
      <c r="AE287" s="106"/>
      <c r="AF287" s="106"/>
      <c r="AG287" s="106"/>
      <c r="AH287" s="106"/>
      <c r="AI287" s="106"/>
      <c r="AJ287" s="106"/>
    </row>
    <row r="288" spans="1:36" s="6" customFormat="1" ht="15" hidden="1" customHeight="1">
      <c r="A288" s="106"/>
      <c r="B288" s="106"/>
      <c r="C288" s="106"/>
      <c r="D288" s="106"/>
      <c r="E288" s="106"/>
      <c r="F288" s="106"/>
      <c r="G288" s="106"/>
      <c r="H288" s="106"/>
      <c r="I288" s="106"/>
      <c r="J288" s="106"/>
      <c r="K288" s="106"/>
      <c r="L288" s="106"/>
      <c r="M288" s="106"/>
      <c r="N288" s="106"/>
      <c r="O288" s="106"/>
      <c r="P288" s="106"/>
      <c r="Q288" s="106"/>
      <c r="R288" s="106"/>
      <c r="S288" s="106"/>
      <c r="T288" s="106"/>
      <c r="U288" s="106"/>
      <c r="V288" s="106"/>
      <c r="W288" s="106"/>
      <c r="X288" s="106"/>
      <c r="Y288" s="106"/>
      <c r="Z288" s="106"/>
      <c r="AA288" s="106"/>
      <c r="AB288" s="106"/>
      <c r="AC288" s="106"/>
      <c r="AD288" s="106"/>
      <c r="AE288" s="106"/>
      <c r="AF288" s="106"/>
      <c r="AG288" s="106"/>
      <c r="AH288" s="106"/>
      <c r="AI288" s="106"/>
      <c r="AJ288" s="106"/>
    </row>
    <row r="289" spans="1:36" s="6" customFormat="1" ht="15" hidden="1" customHeight="1">
      <c r="A289" s="106"/>
      <c r="B289" s="106"/>
      <c r="C289" s="106"/>
      <c r="D289" s="106"/>
      <c r="E289" s="106"/>
      <c r="F289" s="106"/>
      <c r="G289" s="106"/>
      <c r="H289" s="106"/>
      <c r="I289" s="106"/>
      <c r="J289" s="106"/>
      <c r="K289" s="106"/>
      <c r="L289" s="106"/>
      <c r="M289" s="106"/>
      <c r="N289" s="106"/>
      <c r="O289" s="106"/>
      <c r="P289" s="106"/>
      <c r="Q289" s="106"/>
      <c r="R289" s="106"/>
      <c r="S289" s="106"/>
      <c r="T289" s="106"/>
      <c r="U289" s="106"/>
      <c r="V289" s="106"/>
      <c r="W289" s="106"/>
      <c r="X289" s="106"/>
      <c r="Y289" s="106"/>
      <c r="Z289" s="106"/>
      <c r="AA289" s="106"/>
      <c r="AB289" s="106"/>
      <c r="AC289" s="106"/>
      <c r="AD289" s="106"/>
      <c r="AE289" s="106"/>
      <c r="AF289" s="106"/>
      <c r="AG289" s="106"/>
      <c r="AH289" s="106"/>
      <c r="AI289" s="106"/>
      <c r="AJ289" s="106"/>
    </row>
    <row r="290" spans="1:36" s="6" customFormat="1" ht="15" hidden="1" customHeight="1">
      <c r="A290" s="106"/>
      <c r="B290" s="106"/>
      <c r="C290" s="106"/>
      <c r="D290" s="106"/>
      <c r="E290" s="106"/>
      <c r="F290" s="106"/>
      <c r="G290" s="106"/>
      <c r="H290" s="106"/>
      <c r="I290" s="106"/>
      <c r="J290" s="106"/>
      <c r="K290" s="106"/>
      <c r="L290" s="106"/>
      <c r="M290" s="106"/>
      <c r="N290" s="106"/>
      <c r="O290" s="106"/>
      <c r="P290" s="106"/>
      <c r="Q290" s="106"/>
      <c r="R290" s="106"/>
      <c r="S290" s="106"/>
      <c r="T290" s="106"/>
      <c r="U290" s="106"/>
      <c r="V290" s="106"/>
      <c r="W290" s="106"/>
      <c r="X290" s="106"/>
      <c r="Y290" s="106"/>
      <c r="Z290" s="106"/>
      <c r="AA290" s="106"/>
      <c r="AB290" s="106"/>
      <c r="AC290" s="106"/>
      <c r="AD290" s="106"/>
      <c r="AE290" s="106"/>
      <c r="AF290" s="106"/>
      <c r="AG290" s="106"/>
      <c r="AH290" s="106"/>
      <c r="AI290" s="106"/>
      <c r="AJ290" s="106"/>
    </row>
    <row r="291" spans="1:36" s="6" customFormat="1" ht="15" hidden="1" customHeight="1">
      <c r="A291" s="106"/>
      <c r="B291" s="106"/>
      <c r="C291" s="106"/>
      <c r="D291" s="106"/>
      <c r="E291" s="106"/>
      <c r="F291" s="106"/>
      <c r="G291" s="106"/>
      <c r="H291" s="106"/>
      <c r="I291" s="106"/>
      <c r="J291" s="106"/>
      <c r="K291" s="106"/>
      <c r="L291" s="106"/>
      <c r="M291" s="106"/>
      <c r="N291" s="106"/>
      <c r="O291" s="106"/>
      <c r="P291" s="106"/>
      <c r="Q291" s="106"/>
      <c r="R291" s="106"/>
      <c r="S291" s="106"/>
      <c r="T291" s="106"/>
      <c r="U291" s="106"/>
      <c r="V291" s="106"/>
      <c r="W291" s="106"/>
      <c r="X291" s="106"/>
      <c r="Y291" s="106"/>
      <c r="Z291" s="106"/>
      <c r="AA291" s="106"/>
      <c r="AB291" s="106"/>
      <c r="AC291" s="106"/>
      <c r="AD291" s="106"/>
      <c r="AE291" s="106"/>
      <c r="AF291" s="106"/>
      <c r="AG291" s="106"/>
      <c r="AH291" s="106"/>
      <c r="AI291" s="106"/>
      <c r="AJ291" s="106"/>
    </row>
    <row r="292" spans="1:36" s="6" customFormat="1" ht="15" hidden="1" customHeight="1">
      <c r="A292" s="106"/>
      <c r="B292" s="106"/>
      <c r="C292" s="106"/>
      <c r="D292" s="106"/>
      <c r="E292" s="106"/>
      <c r="F292" s="106"/>
      <c r="G292" s="106"/>
      <c r="H292" s="106"/>
      <c r="I292" s="106"/>
      <c r="J292" s="106"/>
      <c r="K292" s="106"/>
      <c r="L292" s="106"/>
      <c r="M292" s="106"/>
      <c r="N292" s="106"/>
      <c r="O292" s="106"/>
      <c r="P292" s="106"/>
      <c r="Q292" s="106"/>
      <c r="R292" s="106"/>
      <c r="S292" s="106"/>
      <c r="T292" s="106"/>
      <c r="U292" s="106"/>
      <c r="V292" s="106"/>
      <c r="W292" s="106"/>
      <c r="X292" s="106"/>
      <c r="Y292" s="106"/>
      <c r="Z292" s="106"/>
      <c r="AA292" s="106"/>
      <c r="AB292" s="106"/>
      <c r="AC292" s="106"/>
      <c r="AD292" s="106"/>
      <c r="AE292" s="106"/>
      <c r="AF292" s="106"/>
      <c r="AG292" s="106"/>
      <c r="AH292" s="106"/>
      <c r="AI292" s="106"/>
      <c r="AJ292" s="106"/>
    </row>
    <row r="293" spans="1:36" s="6" customFormat="1" ht="15" hidden="1" customHeight="1">
      <c r="A293" s="106"/>
      <c r="B293" s="106"/>
      <c r="C293" s="106"/>
      <c r="D293" s="106"/>
      <c r="E293" s="106"/>
      <c r="F293" s="106"/>
      <c r="G293" s="106"/>
      <c r="H293" s="106"/>
      <c r="I293" s="106"/>
      <c r="J293" s="106"/>
      <c r="K293" s="106"/>
      <c r="L293" s="106"/>
      <c r="M293" s="106"/>
      <c r="N293" s="106"/>
      <c r="O293" s="106"/>
      <c r="P293" s="106"/>
      <c r="Q293" s="106"/>
      <c r="R293" s="106"/>
      <c r="S293" s="106"/>
      <c r="T293" s="106"/>
      <c r="U293" s="106"/>
      <c r="V293" s="106"/>
      <c r="W293" s="106"/>
      <c r="X293" s="106"/>
      <c r="Y293" s="106"/>
      <c r="Z293" s="106"/>
      <c r="AA293" s="106"/>
      <c r="AB293" s="106"/>
      <c r="AC293" s="106"/>
      <c r="AD293" s="106"/>
      <c r="AE293" s="106"/>
      <c r="AF293" s="106"/>
      <c r="AG293" s="106"/>
      <c r="AH293" s="106"/>
      <c r="AI293" s="106"/>
      <c r="AJ293" s="106"/>
    </row>
    <row r="294" spans="1:36" s="6" customFormat="1" ht="15" hidden="1" customHeight="1">
      <c r="A294" s="106"/>
      <c r="B294" s="106"/>
      <c r="C294" s="106"/>
      <c r="D294" s="106"/>
      <c r="E294" s="106"/>
      <c r="F294" s="106"/>
      <c r="G294" s="106"/>
      <c r="H294" s="106"/>
      <c r="I294" s="106"/>
      <c r="J294" s="106"/>
      <c r="K294" s="106"/>
      <c r="L294" s="106"/>
      <c r="M294" s="106"/>
      <c r="N294" s="106"/>
      <c r="O294" s="106"/>
      <c r="P294" s="106"/>
      <c r="Q294" s="106"/>
      <c r="R294" s="106"/>
      <c r="S294" s="106"/>
      <c r="T294" s="106"/>
      <c r="U294" s="106"/>
      <c r="V294" s="106"/>
      <c r="W294" s="106"/>
      <c r="X294" s="106"/>
      <c r="Y294" s="106"/>
      <c r="Z294" s="106"/>
      <c r="AA294" s="106"/>
      <c r="AB294" s="106"/>
      <c r="AC294" s="106"/>
      <c r="AD294" s="106"/>
      <c r="AE294" s="106"/>
      <c r="AF294" s="106"/>
      <c r="AG294" s="106"/>
      <c r="AH294" s="106"/>
      <c r="AI294" s="106"/>
      <c r="AJ294" s="106"/>
    </row>
    <row r="295" spans="1:36" s="6" customFormat="1" ht="15" hidden="1" customHeight="1">
      <c r="A295" s="106"/>
      <c r="B295" s="106"/>
      <c r="C295" s="106"/>
      <c r="D295" s="106"/>
      <c r="E295" s="106"/>
      <c r="F295" s="106"/>
      <c r="G295" s="106"/>
      <c r="H295" s="106"/>
      <c r="I295" s="106"/>
      <c r="J295" s="106"/>
      <c r="K295" s="106"/>
      <c r="L295" s="106"/>
      <c r="M295" s="106"/>
      <c r="N295" s="106"/>
      <c r="O295" s="106"/>
      <c r="P295" s="106"/>
      <c r="Q295" s="106"/>
      <c r="R295" s="106"/>
      <c r="S295" s="106"/>
      <c r="T295" s="106"/>
      <c r="U295" s="106"/>
      <c r="V295" s="106"/>
      <c r="W295" s="106"/>
      <c r="X295" s="106"/>
      <c r="Y295" s="106"/>
      <c r="Z295" s="106"/>
      <c r="AA295" s="106"/>
      <c r="AB295" s="106"/>
      <c r="AC295" s="106"/>
      <c r="AD295" s="106"/>
      <c r="AE295" s="106"/>
      <c r="AF295" s="106"/>
      <c r="AG295" s="106"/>
      <c r="AH295" s="106"/>
      <c r="AI295" s="106"/>
      <c r="AJ295" s="106"/>
    </row>
    <row r="296" spans="1:36" s="6" customFormat="1" ht="15" hidden="1" customHeight="1">
      <c r="A296" s="106"/>
      <c r="B296" s="106"/>
      <c r="C296" s="106"/>
      <c r="D296" s="106"/>
      <c r="E296" s="106"/>
      <c r="F296" s="106"/>
      <c r="G296" s="106"/>
      <c r="H296" s="106"/>
      <c r="I296" s="106"/>
      <c r="J296" s="106"/>
      <c r="K296" s="106"/>
      <c r="L296" s="106"/>
      <c r="M296" s="106"/>
      <c r="N296" s="106"/>
      <c r="O296" s="106"/>
      <c r="P296" s="106"/>
      <c r="Q296" s="106"/>
      <c r="R296" s="106"/>
      <c r="S296" s="106"/>
      <c r="T296" s="106"/>
      <c r="U296" s="106"/>
      <c r="V296" s="106"/>
      <c r="W296" s="106"/>
      <c r="X296" s="106"/>
      <c r="Y296" s="106"/>
      <c r="Z296" s="106"/>
      <c r="AA296" s="106"/>
      <c r="AB296" s="106"/>
      <c r="AC296" s="106"/>
      <c r="AD296" s="106"/>
      <c r="AE296" s="106"/>
      <c r="AF296" s="106"/>
      <c r="AG296" s="106"/>
      <c r="AH296" s="106"/>
      <c r="AI296" s="106"/>
      <c r="AJ296" s="106"/>
    </row>
    <row r="297" spans="1:36" s="6" customFormat="1" ht="15" hidden="1" customHeight="1">
      <c r="A297" s="106"/>
      <c r="B297" s="106"/>
      <c r="C297" s="106"/>
      <c r="D297" s="106"/>
      <c r="E297" s="106"/>
      <c r="F297" s="106"/>
      <c r="G297" s="106"/>
      <c r="H297" s="106"/>
      <c r="I297" s="106"/>
      <c r="J297" s="106"/>
      <c r="K297" s="106"/>
      <c r="L297" s="106"/>
      <c r="M297" s="106"/>
      <c r="N297" s="106"/>
      <c r="O297" s="106"/>
      <c r="P297" s="106"/>
      <c r="Q297" s="106"/>
      <c r="R297" s="106"/>
      <c r="S297" s="106"/>
      <c r="T297" s="106"/>
      <c r="U297" s="106"/>
      <c r="V297" s="106"/>
      <c r="W297" s="106"/>
      <c r="X297" s="106"/>
      <c r="Y297" s="106"/>
      <c r="Z297" s="106"/>
      <c r="AA297" s="106"/>
      <c r="AB297" s="106"/>
      <c r="AC297" s="106"/>
      <c r="AD297" s="106"/>
      <c r="AE297" s="106"/>
      <c r="AF297" s="106"/>
      <c r="AG297" s="106"/>
      <c r="AH297" s="106"/>
      <c r="AI297" s="106"/>
      <c r="AJ297" s="106"/>
    </row>
    <row r="298" spans="1:36" s="6" customFormat="1" ht="15" hidden="1" customHeight="1">
      <c r="A298" s="106"/>
      <c r="B298" s="106"/>
      <c r="C298" s="106"/>
      <c r="D298" s="106"/>
      <c r="E298" s="106"/>
      <c r="F298" s="106"/>
      <c r="G298" s="106"/>
      <c r="H298" s="106"/>
      <c r="I298" s="106"/>
      <c r="J298" s="106"/>
      <c r="K298" s="106"/>
      <c r="L298" s="106"/>
      <c r="M298" s="106"/>
      <c r="N298" s="106"/>
      <c r="O298" s="106"/>
      <c r="P298" s="106"/>
      <c r="Q298" s="106"/>
      <c r="R298" s="106"/>
      <c r="S298" s="106"/>
      <c r="T298" s="106"/>
      <c r="U298" s="106"/>
      <c r="V298" s="106"/>
      <c r="W298" s="106"/>
      <c r="X298" s="106"/>
      <c r="Y298" s="106"/>
      <c r="Z298" s="106"/>
      <c r="AA298" s="106"/>
      <c r="AB298" s="106"/>
      <c r="AC298" s="106"/>
      <c r="AD298" s="106"/>
      <c r="AE298" s="106"/>
      <c r="AF298" s="106"/>
      <c r="AG298" s="106"/>
      <c r="AH298" s="106"/>
      <c r="AI298" s="106"/>
      <c r="AJ298" s="106"/>
    </row>
    <row r="299" spans="1:36" s="6" customFormat="1" ht="15" hidden="1" customHeight="1">
      <c r="A299" s="106"/>
      <c r="B299" s="106"/>
      <c r="C299" s="106"/>
      <c r="D299" s="106"/>
      <c r="E299" s="106"/>
      <c r="F299" s="106"/>
      <c r="G299" s="106"/>
      <c r="H299" s="106"/>
      <c r="I299" s="106"/>
      <c r="J299" s="106"/>
      <c r="K299" s="106"/>
      <c r="L299" s="106"/>
      <c r="M299" s="106"/>
      <c r="N299" s="106"/>
      <c r="O299" s="106"/>
      <c r="P299" s="106"/>
      <c r="Q299" s="106"/>
      <c r="R299" s="106"/>
      <c r="S299" s="106"/>
      <c r="T299" s="106"/>
      <c r="U299" s="106"/>
      <c r="V299" s="106"/>
      <c r="W299" s="106"/>
      <c r="X299" s="106"/>
      <c r="Y299" s="106"/>
      <c r="Z299" s="106"/>
      <c r="AA299" s="106"/>
      <c r="AB299" s="106"/>
      <c r="AC299" s="106"/>
      <c r="AD299" s="106"/>
      <c r="AE299" s="106"/>
      <c r="AF299" s="106"/>
      <c r="AG299" s="106"/>
      <c r="AH299" s="106"/>
      <c r="AI299" s="106"/>
      <c r="AJ299" s="106"/>
    </row>
    <row r="300" spans="1:36" s="6" customFormat="1" ht="15" hidden="1" customHeight="1">
      <c r="A300" s="106"/>
      <c r="B300" s="106"/>
      <c r="C300" s="106"/>
      <c r="D300" s="106"/>
      <c r="E300" s="106"/>
      <c r="F300" s="106"/>
      <c r="G300" s="106"/>
      <c r="H300" s="106"/>
      <c r="I300" s="106"/>
      <c r="J300" s="106"/>
      <c r="K300" s="106"/>
      <c r="L300" s="106"/>
      <c r="M300" s="106"/>
      <c r="N300" s="106"/>
      <c r="O300" s="106"/>
      <c r="P300" s="106"/>
      <c r="Q300" s="106"/>
      <c r="R300" s="106"/>
      <c r="S300" s="106"/>
      <c r="T300" s="106"/>
      <c r="U300" s="106"/>
      <c r="V300" s="106"/>
      <c r="W300" s="106"/>
      <c r="X300" s="106"/>
      <c r="Y300" s="106"/>
      <c r="Z300" s="106"/>
      <c r="AA300" s="106"/>
      <c r="AB300" s="106"/>
      <c r="AC300" s="106"/>
      <c r="AD300" s="106"/>
      <c r="AE300" s="106"/>
      <c r="AF300" s="106"/>
      <c r="AG300" s="106"/>
      <c r="AH300" s="106"/>
      <c r="AI300" s="106"/>
      <c r="AJ300" s="106"/>
    </row>
    <row r="301" spans="1:36" s="6" customFormat="1" ht="15" hidden="1" customHeight="1">
      <c r="A301" s="106"/>
      <c r="B301" s="106"/>
      <c r="C301" s="106"/>
      <c r="D301" s="106"/>
      <c r="E301" s="106"/>
      <c r="F301" s="106"/>
      <c r="G301" s="106"/>
      <c r="H301" s="106"/>
      <c r="I301" s="106"/>
      <c r="J301" s="106"/>
      <c r="K301" s="106"/>
      <c r="L301" s="106"/>
      <c r="M301" s="106"/>
      <c r="N301" s="106"/>
      <c r="O301" s="106"/>
      <c r="P301" s="106"/>
      <c r="Q301" s="106"/>
      <c r="R301" s="106"/>
      <c r="S301" s="106"/>
      <c r="T301" s="106"/>
      <c r="U301" s="106"/>
      <c r="V301" s="106"/>
      <c r="W301" s="106"/>
      <c r="X301" s="106"/>
      <c r="Y301" s="106"/>
      <c r="Z301" s="106"/>
      <c r="AA301" s="106"/>
      <c r="AB301" s="106"/>
      <c r="AC301" s="106"/>
      <c r="AD301" s="106"/>
      <c r="AE301" s="106"/>
      <c r="AF301" s="106"/>
      <c r="AG301" s="106"/>
      <c r="AH301" s="106"/>
      <c r="AI301" s="106"/>
      <c r="AJ301" s="106"/>
    </row>
    <row r="302" spans="1:36" s="6" customFormat="1" ht="15" hidden="1" customHeight="1">
      <c r="A302" s="106"/>
      <c r="B302" s="106"/>
      <c r="C302" s="106"/>
      <c r="D302" s="106"/>
      <c r="E302" s="106"/>
      <c r="F302" s="106"/>
      <c r="G302" s="106"/>
      <c r="H302" s="106"/>
      <c r="I302" s="106"/>
      <c r="J302" s="106"/>
      <c r="K302" s="106"/>
      <c r="L302" s="106"/>
      <c r="M302" s="106"/>
      <c r="N302" s="106"/>
      <c r="O302" s="106"/>
      <c r="P302" s="106"/>
      <c r="Q302" s="106"/>
      <c r="R302" s="106"/>
      <c r="S302" s="106"/>
      <c r="T302" s="106"/>
      <c r="U302" s="106"/>
      <c r="V302" s="106"/>
      <c r="W302" s="106"/>
      <c r="X302" s="106"/>
      <c r="Y302" s="106"/>
      <c r="Z302" s="106"/>
      <c r="AA302" s="106"/>
      <c r="AB302" s="106"/>
      <c r="AC302" s="106"/>
      <c r="AD302" s="106"/>
      <c r="AE302" s="106"/>
      <c r="AF302" s="106"/>
      <c r="AG302" s="106"/>
      <c r="AH302" s="106"/>
      <c r="AI302" s="106"/>
      <c r="AJ302" s="106"/>
    </row>
    <row r="303" spans="1:36" s="6" customFormat="1" ht="15" hidden="1" customHeight="1">
      <c r="A303" s="106"/>
      <c r="B303" s="106"/>
      <c r="C303" s="106"/>
      <c r="D303" s="106"/>
      <c r="E303" s="106"/>
      <c r="F303" s="106"/>
      <c r="G303" s="106"/>
      <c r="H303" s="106"/>
      <c r="I303" s="106"/>
      <c r="J303" s="106"/>
      <c r="K303" s="106"/>
      <c r="L303" s="106"/>
      <c r="M303" s="106"/>
      <c r="N303" s="106"/>
      <c r="O303" s="106"/>
      <c r="P303" s="106"/>
      <c r="Q303" s="106"/>
      <c r="R303" s="106"/>
      <c r="S303" s="106"/>
      <c r="T303" s="106"/>
      <c r="U303" s="106"/>
      <c r="V303" s="106"/>
      <c r="W303" s="106"/>
      <c r="X303" s="106"/>
      <c r="Y303" s="106"/>
      <c r="Z303" s="106"/>
      <c r="AA303" s="106"/>
      <c r="AB303" s="106"/>
      <c r="AC303" s="106"/>
      <c r="AD303" s="106"/>
      <c r="AE303" s="106"/>
      <c r="AF303" s="106"/>
      <c r="AG303" s="106"/>
      <c r="AH303" s="106"/>
      <c r="AI303" s="106"/>
      <c r="AJ303" s="106"/>
    </row>
    <row r="304" spans="1:36" s="6" customFormat="1" ht="15" hidden="1" customHeight="1">
      <c r="A304" s="106"/>
      <c r="B304" s="106"/>
      <c r="C304" s="106"/>
      <c r="D304" s="106"/>
      <c r="E304" s="106"/>
      <c r="F304" s="106"/>
      <c r="G304" s="106"/>
      <c r="H304" s="106"/>
      <c r="I304" s="106"/>
      <c r="J304" s="106"/>
      <c r="K304" s="106"/>
      <c r="L304" s="106"/>
      <c r="M304" s="106"/>
      <c r="N304" s="106"/>
      <c r="O304" s="106"/>
      <c r="P304" s="106"/>
      <c r="Q304" s="106"/>
      <c r="R304" s="106"/>
      <c r="S304" s="106"/>
      <c r="T304" s="106"/>
      <c r="U304" s="106"/>
      <c r="V304" s="106"/>
      <c r="W304" s="106"/>
      <c r="X304" s="106"/>
      <c r="Y304" s="106"/>
      <c r="Z304" s="106"/>
      <c r="AA304" s="106"/>
      <c r="AB304" s="106"/>
      <c r="AC304" s="106"/>
      <c r="AD304" s="106"/>
      <c r="AE304" s="106"/>
      <c r="AF304" s="106"/>
      <c r="AG304" s="106"/>
      <c r="AH304" s="106"/>
      <c r="AI304" s="106"/>
      <c r="AJ304" s="106"/>
    </row>
    <row r="305" spans="1:37" s="6" customFormat="1" ht="15" hidden="1" customHeight="1">
      <c r="A305" s="106"/>
      <c r="B305" s="106"/>
      <c r="C305" s="106"/>
      <c r="D305" s="106"/>
      <c r="E305" s="106"/>
      <c r="F305" s="106"/>
      <c r="G305" s="106"/>
      <c r="H305" s="106"/>
      <c r="I305" s="106"/>
      <c r="J305" s="106"/>
      <c r="K305" s="106"/>
      <c r="L305" s="106"/>
      <c r="M305" s="106"/>
      <c r="N305" s="106"/>
      <c r="O305" s="106"/>
      <c r="P305" s="106"/>
      <c r="Q305" s="106"/>
      <c r="R305" s="106"/>
      <c r="S305" s="106"/>
      <c r="T305" s="106"/>
      <c r="U305" s="106"/>
      <c r="V305" s="106"/>
      <c r="W305" s="106"/>
      <c r="X305" s="106"/>
      <c r="Y305" s="106"/>
      <c r="Z305" s="106"/>
      <c r="AA305" s="106"/>
      <c r="AB305" s="106"/>
      <c r="AC305" s="106"/>
      <c r="AD305" s="106"/>
      <c r="AE305" s="106"/>
      <c r="AF305" s="106"/>
      <c r="AG305" s="106"/>
      <c r="AH305" s="106"/>
      <c r="AI305" s="106"/>
      <c r="AJ305" s="106"/>
    </row>
    <row r="306" spans="1:37" s="6" customFormat="1" ht="15" hidden="1" customHeight="1">
      <c r="A306" s="106"/>
      <c r="B306" s="106"/>
      <c r="C306" s="106"/>
      <c r="D306" s="106"/>
      <c r="E306" s="106"/>
      <c r="F306" s="106"/>
      <c r="G306" s="106"/>
      <c r="H306" s="106"/>
      <c r="I306" s="106"/>
      <c r="J306" s="106"/>
      <c r="K306" s="106"/>
      <c r="L306" s="106"/>
      <c r="M306" s="106"/>
      <c r="N306" s="106"/>
      <c r="O306" s="106"/>
      <c r="P306" s="106"/>
      <c r="Q306" s="106"/>
      <c r="R306" s="106"/>
      <c r="S306" s="106"/>
      <c r="T306" s="106"/>
      <c r="U306" s="106"/>
      <c r="V306" s="106"/>
      <c r="W306" s="106"/>
      <c r="X306" s="106"/>
      <c r="Y306" s="106"/>
      <c r="Z306" s="106"/>
      <c r="AA306" s="106"/>
      <c r="AB306" s="106"/>
      <c r="AC306" s="106"/>
      <c r="AD306" s="106"/>
      <c r="AE306" s="106"/>
      <c r="AF306" s="106"/>
      <c r="AG306" s="106"/>
      <c r="AH306" s="106"/>
      <c r="AI306" s="106"/>
      <c r="AJ306" s="106"/>
    </row>
    <row r="307" spans="1:37" ht="15" hidden="1"/>
    <row r="308" spans="1:37" ht="15" hidden="1"/>
    <row r="309" spans="1:37" ht="15" hidden="1"/>
    <row r="310" spans="1:37" ht="15" hidden="1"/>
    <row r="311" spans="1:37" ht="15" hidden="1"/>
    <row r="312" spans="1:37" ht="15" hidden="1"/>
    <row r="313" spans="1:37" ht="20.100000000000001" hidden="1" customHeight="1">
      <c r="AK313" s="30"/>
    </row>
    <row r="314" spans="1:37" ht="12.75" hidden="1" customHeight="1"/>
    <row r="315" spans="1:37" s="6" customFormat="1" ht="15" hidden="1">
      <c r="A315" s="106"/>
      <c r="B315" s="106"/>
      <c r="C315" s="106"/>
      <c r="D315" s="106"/>
      <c r="E315" s="106"/>
      <c r="F315" s="106"/>
      <c r="G315" s="106"/>
      <c r="H315" s="106"/>
      <c r="I315" s="106"/>
      <c r="J315" s="106"/>
      <c r="K315" s="106"/>
      <c r="L315" s="106"/>
      <c r="M315" s="106"/>
      <c r="N315" s="106"/>
      <c r="O315" s="106"/>
      <c r="P315" s="106"/>
      <c r="Q315" s="106"/>
      <c r="R315" s="106"/>
      <c r="S315" s="106"/>
      <c r="T315" s="106"/>
      <c r="U315" s="106"/>
      <c r="V315" s="106"/>
      <c r="W315" s="106"/>
      <c r="X315" s="106"/>
      <c r="Y315" s="106"/>
      <c r="Z315" s="106"/>
      <c r="AA315" s="106"/>
      <c r="AB315" s="106"/>
      <c r="AC315" s="106"/>
      <c r="AD315" s="106"/>
      <c r="AE315" s="106"/>
      <c r="AF315" s="106"/>
      <c r="AG315" s="106"/>
      <c r="AH315" s="106"/>
      <c r="AI315" s="106"/>
      <c r="AJ315" s="106"/>
    </row>
    <row r="316" spans="1:37" s="6" customFormat="1" ht="15" hidden="1">
      <c r="A316" s="106"/>
      <c r="B316" s="106"/>
      <c r="C316" s="106"/>
      <c r="D316" s="106"/>
      <c r="E316" s="106"/>
      <c r="F316" s="106"/>
      <c r="G316" s="106"/>
      <c r="H316" s="106"/>
      <c r="I316" s="106"/>
      <c r="J316" s="106"/>
      <c r="K316" s="106"/>
      <c r="L316" s="106"/>
      <c r="M316" s="106"/>
      <c r="N316" s="106"/>
      <c r="O316" s="106"/>
      <c r="P316" s="106"/>
      <c r="Q316" s="106"/>
      <c r="R316" s="106"/>
      <c r="S316" s="106"/>
      <c r="T316" s="106"/>
      <c r="U316" s="106"/>
      <c r="V316" s="106"/>
      <c r="W316" s="106"/>
      <c r="X316" s="106"/>
      <c r="Y316" s="106"/>
      <c r="Z316" s="106"/>
      <c r="AA316" s="106"/>
      <c r="AB316" s="106"/>
      <c r="AC316" s="106"/>
      <c r="AD316" s="106"/>
      <c r="AE316" s="106"/>
      <c r="AF316" s="106"/>
      <c r="AG316" s="106"/>
      <c r="AH316" s="106"/>
      <c r="AI316" s="106"/>
      <c r="AJ316" s="106"/>
    </row>
    <row r="317" spans="1:37" s="6" customFormat="1" ht="12.75" hidden="1" customHeight="1">
      <c r="A317" s="106"/>
      <c r="B317" s="106"/>
      <c r="C317" s="106"/>
      <c r="D317" s="106"/>
      <c r="E317" s="106"/>
      <c r="F317" s="106"/>
      <c r="G317" s="106"/>
      <c r="H317" s="106"/>
      <c r="I317" s="106"/>
      <c r="J317" s="106"/>
      <c r="K317" s="106"/>
      <c r="L317" s="106"/>
      <c r="M317" s="106"/>
      <c r="N317" s="106"/>
      <c r="O317" s="106"/>
      <c r="P317" s="106"/>
      <c r="Q317" s="106"/>
      <c r="R317" s="106"/>
      <c r="S317" s="106"/>
      <c r="T317" s="106"/>
      <c r="U317" s="106"/>
      <c r="V317" s="106"/>
      <c r="W317" s="106"/>
      <c r="X317" s="106"/>
      <c r="Y317" s="106"/>
      <c r="Z317" s="106"/>
      <c r="AA317" s="106"/>
      <c r="AB317" s="106"/>
      <c r="AC317" s="106"/>
      <c r="AD317" s="106"/>
      <c r="AE317" s="106"/>
      <c r="AF317" s="106"/>
      <c r="AG317" s="106"/>
      <c r="AH317" s="106"/>
      <c r="AI317" s="106"/>
      <c r="AJ317" s="106"/>
    </row>
    <row r="318" spans="1:37" s="6" customFormat="1" ht="13.5" hidden="1" customHeight="1">
      <c r="A318" s="106"/>
      <c r="B318" s="106"/>
      <c r="C318" s="106"/>
      <c r="D318" s="106"/>
      <c r="E318" s="106"/>
      <c r="F318" s="106"/>
      <c r="G318" s="106"/>
      <c r="H318" s="106"/>
      <c r="I318" s="106"/>
      <c r="J318" s="106"/>
      <c r="K318" s="106"/>
      <c r="L318" s="106"/>
      <c r="M318" s="106"/>
      <c r="N318" s="106"/>
      <c r="O318" s="106"/>
      <c r="P318" s="106"/>
      <c r="Q318" s="106"/>
      <c r="R318" s="106"/>
      <c r="S318" s="106"/>
      <c r="T318" s="106"/>
      <c r="U318" s="106"/>
      <c r="V318" s="106"/>
      <c r="W318" s="106"/>
      <c r="X318" s="106"/>
      <c r="Y318" s="106"/>
      <c r="Z318" s="106"/>
      <c r="AA318" s="106"/>
      <c r="AB318" s="106"/>
      <c r="AC318" s="106"/>
      <c r="AD318" s="106"/>
      <c r="AE318" s="106"/>
      <c r="AF318" s="106"/>
      <c r="AG318" s="106"/>
      <c r="AH318" s="106"/>
      <c r="AI318" s="106"/>
      <c r="AJ318" s="106"/>
    </row>
    <row r="319" spans="1:37" s="6" customFormat="1" ht="15" hidden="1">
      <c r="A319" s="106"/>
      <c r="B319" s="106"/>
      <c r="C319" s="106"/>
      <c r="D319" s="106"/>
      <c r="E319" s="106"/>
      <c r="F319" s="106"/>
      <c r="G319" s="106"/>
      <c r="H319" s="106"/>
      <c r="I319" s="106"/>
      <c r="J319" s="106"/>
      <c r="K319" s="106"/>
      <c r="L319" s="106"/>
      <c r="M319" s="106"/>
      <c r="N319" s="106"/>
      <c r="O319" s="106"/>
      <c r="P319" s="106"/>
      <c r="Q319" s="106"/>
      <c r="R319" s="106"/>
      <c r="S319" s="106"/>
      <c r="T319" s="106"/>
      <c r="U319" s="106"/>
      <c r="V319" s="106"/>
      <c r="W319" s="106"/>
      <c r="X319" s="106"/>
      <c r="Y319" s="106"/>
      <c r="Z319" s="106"/>
      <c r="AA319" s="106"/>
      <c r="AB319" s="106"/>
      <c r="AC319" s="106"/>
      <c r="AD319" s="106"/>
      <c r="AE319" s="106"/>
      <c r="AF319" s="106"/>
      <c r="AG319" s="106"/>
      <c r="AH319" s="106"/>
      <c r="AI319" s="106"/>
      <c r="AJ319" s="106"/>
    </row>
    <row r="320" spans="1:37" s="6" customFormat="1" ht="13.5" hidden="1" customHeight="1">
      <c r="A320" s="106"/>
      <c r="B320" s="106"/>
      <c r="C320" s="106"/>
      <c r="D320" s="106"/>
      <c r="E320" s="106"/>
      <c r="F320" s="106"/>
      <c r="G320" s="106"/>
      <c r="H320" s="106"/>
      <c r="I320" s="106"/>
      <c r="J320" s="106"/>
      <c r="K320" s="106"/>
      <c r="L320" s="106"/>
      <c r="M320" s="106"/>
      <c r="N320" s="106"/>
      <c r="O320" s="106"/>
      <c r="P320" s="106"/>
      <c r="Q320" s="106"/>
      <c r="R320" s="106"/>
      <c r="S320" s="106"/>
      <c r="T320" s="106"/>
      <c r="U320" s="106"/>
      <c r="V320" s="106"/>
      <c r="W320" s="106"/>
      <c r="X320" s="106"/>
      <c r="Y320" s="106"/>
      <c r="Z320" s="106"/>
      <c r="AA320" s="106"/>
      <c r="AB320" s="106"/>
      <c r="AC320" s="106"/>
      <c r="AD320" s="106"/>
      <c r="AE320" s="106"/>
      <c r="AF320" s="106"/>
      <c r="AG320" s="106"/>
      <c r="AH320" s="106"/>
      <c r="AI320" s="106"/>
      <c r="AJ320" s="106"/>
    </row>
    <row r="321" spans="1:36" s="6" customFormat="1" ht="15" hidden="1">
      <c r="A321" s="106"/>
      <c r="B321" s="106"/>
      <c r="C321" s="106"/>
      <c r="D321" s="106"/>
      <c r="E321" s="106"/>
      <c r="F321" s="106"/>
      <c r="G321" s="106"/>
      <c r="H321" s="106"/>
      <c r="I321" s="106"/>
      <c r="J321" s="106"/>
      <c r="K321" s="106"/>
      <c r="L321" s="106"/>
      <c r="M321" s="106"/>
      <c r="N321" s="106"/>
      <c r="O321" s="106"/>
      <c r="P321" s="106"/>
      <c r="Q321" s="106"/>
      <c r="R321" s="106"/>
      <c r="S321" s="106"/>
      <c r="T321" s="106"/>
      <c r="U321" s="106"/>
      <c r="V321" s="106"/>
      <c r="W321" s="106"/>
      <c r="X321" s="106"/>
      <c r="Y321" s="106"/>
      <c r="Z321" s="106"/>
      <c r="AA321" s="106"/>
      <c r="AB321" s="106"/>
      <c r="AC321" s="106"/>
      <c r="AD321" s="106"/>
      <c r="AE321" s="106"/>
      <c r="AF321" s="106"/>
      <c r="AG321" s="106"/>
      <c r="AH321" s="106"/>
      <c r="AI321" s="106"/>
      <c r="AJ321" s="106"/>
    </row>
    <row r="322" spans="1:36" s="6" customFormat="1" ht="15" hidden="1">
      <c r="A322" s="106"/>
      <c r="B322" s="106"/>
      <c r="C322" s="106"/>
      <c r="D322" s="106"/>
      <c r="E322" s="106"/>
      <c r="F322" s="106"/>
      <c r="G322" s="106"/>
      <c r="H322" s="106"/>
      <c r="I322" s="106"/>
      <c r="J322" s="106"/>
      <c r="K322" s="106"/>
      <c r="L322" s="106"/>
      <c r="M322" s="106"/>
      <c r="N322" s="106"/>
      <c r="O322" s="106"/>
      <c r="P322" s="106"/>
      <c r="Q322" s="106"/>
      <c r="R322" s="106"/>
      <c r="S322" s="106"/>
      <c r="T322" s="106"/>
      <c r="U322" s="106"/>
      <c r="V322" s="106"/>
      <c r="W322" s="106"/>
      <c r="X322" s="106"/>
      <c r="Y322" s="106"/>
      <c r="Z322" s="106"/>
      <c r="AA322" s="106"/>
      <c r="AB322" s="106"/>
      <c r="AC322" s="106"/>
      <c r="AD322" s="106"/>
      <c r="AE322" s="106"/>
      <c r="AF322" s="106"/>
      <c r="AG322" s="106"/>
      <c r="AH322" s="106"/>
      <c r="AI322" s="106"/>
      <c r="AJ322" s="106"/>
    </row>
    <row r="323" spans="1:36" s="6" customFormat="1" ht="15" hidden="1">
      <c r="A323" s="106"/>
      <c r="B323" s="106"/>
      <c r="C323" s="106"/>
      <c r="D323" s="106"/>
      <c r="E323" s="106"/>
      <c r="F323" s="106"/>
      <c r="G323" s="106"/>
      <c r="H323" s="106"/>
      <c r="I323" s="106"/>
      <c r="J323" s="106"/>
      <c r="K323" s="106"/>
      <c r="L323" s="106"/>
      <c r="M323" s="106"/>
      <c r="N323" s="106"/>
      <c r="O323" s="106"/>
      <c r="P323" s="106"/>
      <c r="Q323" s="106"/>
      <c r="R323" s="106"/>
      <c r="S323" s="106"/>
      <c r="T323" s="106"/>
      <c r="U323" s="106"/>
      <c r="V323" s="106"/>
      <c r="W323" s="106"/>
      <c r="X323" s="106"/>
      <c r="Y323" s="106"/>
      <c r="Z323" s="106"/>
      <c r="AA323" s="106"/>
      <c r="AB323" s="106"/>
      <c r="AC323" s="106"/>
      <c r="AD323" s="106"/>
      <c r="AE323" s="106"/>
      <c r="AF323" s="106"/>
      <c r="AG323" s="106"/>
      <c r="AH323" s="106"/>
      <c r="AI323" s="106"/>
      <c r="AJ323" s="106"/>
    </row>
    <row r="324" spans="1:36" s="6" customFormat="1" ht="15" hidden="1">
      <c r="A324" s="106"/>
      <c r="B324" s="106"/>
      <c r="C324" s="106"/>
      <c r="D324" s="106"/>
      <c r="E324" s="106"/>
      <c r="F324" s="106"/>
      <c r="G324" s="106"/>
      <c r="H324" s="106"/>
      <c r="I324" s="106"/>
      <c r="J324" s="106"/>
      <c r="K324" s="106"/>
      <c r="L324" s="106"/>
      <c r="M324" s="106"/>
      <c r="N324" s="106"/>
      <c r="O324" s="106"/>
      <c r="P324" s="106"/>
      <c r="Q324" s="106"/>
      <c r="R324" s="106"/>
      <c r="S324" s="106"/>
      <c r="T324" s="106"/>
      <c r="U324" s="106"/>
      <c r="V324" s="106"/>
      <c r="W324" s="106"/>
      <c r="X324" s="106"/>
      <c r="Y324" s="106"/>
      <c r="Z324" s="106"/>
      <c r="AA324" s="106"/>
      <c r="AB324" s="106"/>
      <c r="AC324" s="106"/>
      <c r="AD324" s="106"/>
      <c r="AE324" s="106"/>
      <c r="AF324" s="106"/>
      <c r="AG324" s="106"/>
      <c r="AH324" s="106"/>
      <c r="AI324" s="106"/>
      <c r="AJ324" s="106"/>
    </row>
    <row r="325" spans="1:36" s="6" customFormat="1" ht="15" hidden="1">
      <c r="A325" s="106"/>
      <c r="B325" s="106"/>
      <c r="C325" s="106"/>
      <c r="D325" s="106"/>
      <c r="E325" s="106"/>
      <c r="F325" s="106"/>
      <c r="G325" s="106"/>
      <c r="H325" s="106"/>
      <c r="I325" s="106"/>
      <c r="J325" s="106"/>
      <c r="K325" s="106"/>
      <c r="L325" s="106"/>
      <c r="M325" s="106"/>
      <c r="N325" s="106"/>
      <c r="O325" s="106"/>
      <c r="P325" s="106"/>
      <c r="Q325" s="106"/>
      <c r="R325" s="106"/>
      <c r="S325" s="106"/>
      <c r="T325" s="106"/>
      <c r="U325" s="106"/>
      <c r="V325" s="106"/>
      <c r="W325" s="106"/>
      <c r="X325" s="106"/>
      <c r="Y325" s="106"/>
      <c r="Z325" s="106"/>
      <c r="AA325" s="106"/>
      <c r="AB325" s="106"/>
      <c r="AC325" s="106"/>
      <c r="AD325" s="106"/>
      <c r="AE325" s="106"/>
      <c r="AF325" s="106"/>
      <c r="AG325" s="106"/>
      <c r="AH325" s="106"/>
      <c r="AI325" s="106"/>
      <c r="AJ325" s="106"/>
    </row>
    <row r="326" spans="1:36" s="6" customFormat="1" ht="15" hidden="1">
      <c r="A326" s="106"/>
      <c r="B326" s="106"/>
      <c r="C326" s="106"/>
      <c r="D326" s="106"/>
      <c r="E326" s="106"/>
      <c r="F326" s="106"/>
      <c r="G326" s="106"/>
      <c r="H326" s="106"/>
      <c r="I326" s="106"/>
      <c r="J326" s="106"/>
      <c r="K326" s="106"/>
      <c r="L326" s="106"/>
      <c r="M326" s="106"/>
      <c r="N326" s="106"/>
      <c r="O326" s="106"/>
      <c r="P326" s="106"/>
      <c r="Q326" s="106"/>
      <c r="R326" s="106"/>
      <c r="S326" s="106"/>
      <c r="T326" s="106"/>
      <c r="U326" s="106"/>
      <c r="V326" s="106"/>
      <c r="W326" s="106"/>
      <c r="X326" s="106"/>
      <c r="Y326" s="106"/>
      <c r="Z326" s="106"/>
      <c r="AA326" s="106"/>
      <c r="AB326" s="106"/>
      <c r="AC326" s="106"/>
      <c r="AD326" s="106"/>
      <c r="AE326" s="106"/>
      <c r="AF326" s="106"/>
      <c r="AG326" s="106"/>
      <c r="AH326" s="106"/>
      <c r="AI326" s="106"/>
      <c r="AJ326" s="106"/>
    </row>
    <row r="327" spans="1:36" s="6" customFormat="1" ht="15" hidden="1">
      <c r="A327" s="106"/>
      <c r="B327" s="106"/>
      <c r="C327" s="106"/>
      <c r="D327" s="106"/>
      <c r="E327" s="106"/>
      <c r="F327" s="106"/>
      <c r="G327" s="106"/>
      <c r="H327" s="106"/>
      <c r="I327" s="106"/>
      <c r="J327" s="106"/>
      <c r="K327" s="106"/>
      <c r="L327" s="106"/>
      <c r="M327" s="106"/>
      <c r="N327" s="106"/>
      <c r="O327" s="106"/>
      <c r="P327" s="106"/>
      <c r="Q327" s="106"/>
      <c r="R327" s="106"/>
      <c r="S327" s="106"/>
      <c r="T327" s="106"/>
      <c r="U327" s="106"/>
      <c r="V327" s="106"/>
      <c r="W327" s="106"/>
      <c r="X327" s="106"/>
      <c r="Y327" s="106"/>
      <c r="Z327" s="106"/>
      <c r="AA327" s="106"/>
      <c r="AB327" s="106"/>
      <c r="AC327" s="106"/>
      <c r="AD327" s="106"/>
      <c r="AE327" s="106"/>
      <c r="AF327" s="106"/>
      <c r="AG327" s="106"/>
      <c r="AH327" s="106"/>
      <c r="AI327" s="106"/>
      <c r="AJ327" s="106"/>
    </row>
    <row r="328" spans="1:36" s="6" customFormat="1" ht="15" hidden="1">
      <c r="A328" s="106"/>
      <c r="B328" s="106"/>
      <c r="C328" s="106"/>
      <c r="D328" s="106"/>
      <c r="E328" s="106"/>
      <c r="F328" s="106"/>
      <c r="G328" s="106"/>
      <c r="H328" s="106"/>
      <c r="I328" s="106"/>
      <c r="J328" s="106"/>
      <c r="K328" s="106"/>
      <c r="L328" s="106"/>
      <c r="M328" s="106"/>
      <c r="N328" s="106"/>
      <c r="O328" s="106"/>
      <c r="P328" s="106"/>
      <c r="Q328" s="106"/>
      <c r="R328" s="106"/>
      <c r="S328" s="106"/>
      <c r="T328" s="106"/>
      <c r="U328" s="106"/>
      <c r="V328" s="106"/>
      <c r="W328" s="106"/>
      <c r="X328" s="106"/>
      <c r="Y328" s="106"/>
      <c r="Z328" s="106"/>
      <c r="AA328" s="106"/>
      <c r="AB328" s="106"/>
      <c r="AC328" s="106"/>
      <c r="AD328" s="106"/>
      <c r="AE328" s="106"/>
      <c r="AF328" s="106"/>
      <c r="AG328" s="106"/>
      <c r="AH328" s="106"/>
      <c r="AI328" s="106"/>
      <c r="AJ328" s="106"/>
    </row>
    <row r="329" spans="1:36" s="6" customFormat="1" ht="15" hidden="1">
      <c r="A329" s="106"/>
      <c r="B329" s="106"/>
      <c r="C329" s="106"/>
      <c r="D329" s="106"/>
      <c r="E329" s="106"/>
      <c r="F329" s="106"/>
      <c r="G329" s="106"/>
      <c r="H329" s="106"/>
      <c r="I329" s="106"/>
      <c r="J329" s="106"/>
      <c r="K329" s="106"/>
      <c r="L329" s="106"/>
      <c r="M329" s="106"/>
      <c r="N329" s="106"/>
      <c r="O329" s="106"/>
      <c r="P329" s="106"/>
      <c r="Q329" s="106"/>
      <c r="R329" s="106"/>
      <c r="S329" s="106"/>
      <c r="T329" s="106"/>
      <c r="U329" s="106"/>
      <c r="V329" s="106"/>
      <c r="W329" s="106"/>
      <c r="X329" s="106"/>
      <c r="Y329" s="106"/>
      <c r="Z329" s="106"/>
      <c r="AA329" s="106"/>
      <c r="AB329" s="106"/>
      <c r="AC329" s="106"/>
      <c r="AD329" s="106"/>
      <c r="AE329" s="106"/>
      <c r="AF329" s="106"/>
      <c r="AG329" s="106"/>
      <c r="AH329" s="106"/>
      <c r="AI329" s="106"/>
      <c r="AJ329" s="106"/>
    </row>
    <row r="330" spans="1:36" s="6" customFormat="1" ht="15" hidden="1">
      <c r="A330" s="106"/>
      <c r="B330" s="106"/>
      <c r="C330" s="106"/>
      <c r="D330" s="106"/>
      <c r="E330" s="106"/>
      <c r="F330" s="106"/>
      <c r="G330" s="106"/>
      <c r="H330" s="106"/>
      <c r="I330" s="106"/>
      <c r="J330" s="106"/>
      <c r="K330" s="106"/>
      <c r="L330" s="106"/>
      <c r="M330" s="106"/>
      <c r="N330" s="106"/>
      <c r="O330" s="106"/>
      <c r="P330" s="106"/>
      <c r="Q330" s="106"/>
      <c r="R330" s="106"/>
      <c r="S330" s="106"/>
      <c r="T330" s="106"/>
      <c r="U330" s="106"/>
      <c r="V330" s="106"/>
      <c r="W330" s="106"/>
      <c r="X330" s="106"/>
      <c r="Y330" s="106"/>
      <c r="Z330" s="106"/>
      <c r="AA330" s="106"/>
      <c r="AB330" s="106"/>
      <c r="AC330" s="106"/>
      <c r="AD330" s="106"/>
      <c r="AE330" s="106"/>
      <c r="AF330" s="106"/>
      <c r="AG330" s="106"/>
      <c r="AH330" s="106"/>
      <c r="AI330" s="106"/>
      <c r="AJ330" s="106"/>
    </row>
    <row r="331" spans="1:36" s="6" customFormat="1" ht="15" hidden="1">
      <c r="A331" s="106"/>
      <c r="B331" s="106"/>
      <c r="C331" s="106"/>
      <c r="D331" s="106"/>
      <c r="E331" s="106"/>
      <c r="F331" s="106"/>
      <c r="G331" s="106"/>
      <c r="H331" s="106"/>
      <c r="I331" s="106"/>
      <c r="J331" s="106"/>
      <c r="K331" s="106"/>
      <c r="L331" s="106"/>
      <c r="M331" s="106"/>
      <c r="N331" s="106"/>
      <c r="O331" s="106"/>
      <c r="P331" s="106"/>
      <c r="Q331" s="106"/>
      <c r="R331" s="106"/>
      <c r="S331" s="106"/>
      <c r="T331" s="106"/>
      <c r="U331" s="106"/>
      <c r="V331" s="106"/>
      <c r="W331" s="106"/>
      <c r="X331" s="106"/>
      <c r="Y331" s="106"/>
      <c r="Z331" s="106"/>
      <c r="AA331" s="106"/>
      <c r="AB331" s="106"/>
      <c r="AC331" s="106"/>
      <c r="AD331" s="106"/>
      <c r="AE331" s="106"/>
      <c r="AF331" s="106"/>
      <c r="AG331" s="106"/>
      <c r="AH331" s="106"/>
      <c r="AI331" s="106"/>
      <c r="AJ331" s="106"/>
    </row>
    <row r="332" spans="1:36" s="6" customFormat="1" ht="15" hidden="1">
      <c r="A332" s="106"/>
      <c r="B332" s="106"/>
      <c r="C332" s="106"/>
      <c r="D332" s="106"/>
      <c r="E332" s="106"/>
      <c r="F332" s="106"/>
      <c r="G332" s="106"/>
      <c r="H332" s="106"/>
      <c r="I332" s="106"/>
      <c r="J332" s="106"/>
      <c r="K332" s="106"/>
      <c r="L332" s="106"/>
      <c r="M332" s="106"/>
      <c r="N332" s="106"/>
      <c r="O332" s="106"/>
      <c r="P332" s="106"/>
      <c r="Q332" s="106"/>
      <c r="R332" s="106"/>
      <c r="S332" s="106"/>
      <c r="T332" s="106"/>
      <c r="U332" s="106"/>
      <c r="V332" s="106"/>
      <c r="W332" s="106"/>
      <c r="X332" s="106"/>
      <c r="Y332" s="106"/>
      <c r="Z332" s="106"/>
      <c r="AA332" s="106"/>
      <c r="AB332" s="106"/>
      <c r="AC332" s="106"/>
      <c r="AD332" s="106"/>
      <c r="AE332" s="106"/>
      <c r="AF332" s="106"/>
      <c r="AG332" s="106"/>
      <c r="AH332" s="106"/>
      <c r="AI332" s="106"/>
      <c r="AJ332" s="106"/>
    </row>
    <row r="333" spans="1:36" s="6" customFormat="1" ht="15" hidden="1">
      <c r="A333" s="106"/>
      <c r="B333" s="106"/>
      <c r="C333" s="106"/>
      <c r="D333" s="106"/>
      <c r="E333" s="106"/>
      <c r="F333" s="106"/>
      <c r="G333" s="106"/>
      <c r="H333" s="106"/>
      <c r="I333" s="106"/>
      <c r="J333" s="106"/>
      <c r="K333" s="106"/>
      <c r="L333" s="106"/>
      <c r="M333" s="106"/>
      <c r="N333" s="106"/>
      <c r="O333" s="106"/>
      <c r="P333" s="106"/>
      <c r="Q333" s="106"/>
      <c r="R333" s="106"/>
      <c r="S333" s="106"/>
      <c r="T333" s="106"/>
      <c r="U333" s="106"/>
      <c r="V333" s="106"/>
      <c r="W333" s="106"/>
      <c r="X333" s="106"/>
      <c r="Y333" s="106"/>
      <c r="Z333" s="106"/>
      <c r="AA333" s="106"/>
      <c r="AB333" s="106"/>
      <c r="AC333" s="106"/>
      <c r="AD333" s="106"/>
      <c r="AE333" s="106"/>
      <c r="AF333" s="106"/>
      <c r="AG333" s="106"/>
      <c r="AH333" s="106"/>
      <c r="AI333" s="106"/>
      <c r="AJ333" s="106"/>
    </row>
    <row r="334" spans="1:36" s="6" customFormat="1" ht="15" hidden="1">
      <c r="A334" s="106"/>
      <c r="B334" s="106"/>
      <c r="C334" s="106"/>
      <c r="D334" s="106"/>
      <c r="E334" s="106"/>
      <c r="F334" s="106"/>
      <c r="G334" s="106"/>
      <c r="H334" s="106"/>
      <c r="I334" s="106"/>
      <c r="J334" s="106"/>
      <c r="K334" s="106"/>
      <c r="L334" s="106"/>
      <c r="M334" s="106"/>
      <c r="N334" s="106"/>
      <c r="O334" s="106"/>
      <c r="P334" s="106"/>
      <c r="Q334" s="106"/>
      <c r="R334" s="106"/>
      <c r="S334" s="106"/>
      <c r="T334" s="106"/>
      <c r="U334" s="106"/>
      <c r="V334" s="106"/>
      <c r="W334" s="106"/>
      <c r="X334" s="106"/>
      <c r="Y334" s="106"/>
      <c r="Z334" s="106"/>
      <c r="AA334" s="106"/>
      <c r="AB334" s="106"/>
      <c r="AC334" s="106"/>
      <c r="AD334" s="106"/>
      <c r="AE334" s="106"/>
      <c r="AF334" s="106"/>
      <c r="AG334" s="106"/>
      <c r="AH334" s="106"/>
      <c r="AI334" s="106"/>
      <c r="AJ334" s="106"/>
    </row>
    <row r="335" spans="1:36" s="6" customFormat="1" ht="15" hidden="1">
      <c r="A335" s="106"/>
      <c r="B335" s="106"/>
      <c r="C335" s="106"/>
      <c r="D335" s="106"/>
      <c r="E335" s="106"/>
      <c r="F335" s="106"/>
      <c r="G335" s="106"/>
      <c r="H335" s="106"/>
      <c r="I335" s="106"/>
      <c r="J335" s="106"/>
      <c r="K335" s="106"/>
      <c r="L335" s="106"/>
      <c r="M335" s="106"/>
      <c r="N335" s="106"/>
      <c r="O335" s="106"/>
      <c r="P335" s="106"/>
      <c r="Q335" s="106"/>
      <c r="R335" s="106"/>
      <c r="S335" s="106"/>
      <c r="T335" s="106"/>
      <c r="U335" s="106"/>
      <c r="V335" s="106"/>
      <c r="W335" s="106"/>
      <c r="X335" s="106"/>
      <c r="Y335" s="106"/>
      <c r="Z335" s="106"/>
      <c r="AA335" s="106"/>
      <c r="AB335" s="106"/>
      <c r="AC335" s="106"/>
      <c r="AD335" s="106"/>
      <c r="AE335" s="106"/>
      <c r="AF335" s="106"/>
      <c r="AG335" s="106"/>
      <c r="AH335" s="106"/>
      <c r="AI335" s="106"/>
      <c r="AJ335" s="106"/>
    </row>
    <row r="336" spans="1:36" s="6" customFormat="1" ht="15" hidden="1">
      <c r="A336" s="106"/>
      <c r="B336" s="106"/>
      <c r="C336" s="106"/>
      <c r="D336" s="106"/>
      <c r="E336" s="106"/>
      <c r="F336" s="106"/>
      <c r="G336" s="106"/>
      <c r="H336" s="106"/>
      <c r="I336" s="106"/>
      <c r="J336" s="106"/>
      <c r="K336" s="106"/>
      <c r="L336" s="106"/>
      <c r="M336" s="106"/>
      <c r="N336" s="106"/>
      <c r="O336" s="106"/>
      <c r="P336" s="106"/>
      <c r="Q336" s="106"/>
      <c r="R336" s="106"/>
      <c r="S336" s="106"/>
      <c r="T336" s="106"/>
      <c r="U336" s="106"/>
      <c r="V336" s="106"/>
      <c r="W336" s="106"/>
      <c r="X336" s="106"/>
      <c r="Y336" s="106"/>
      <c r="Z336" s="106"/>
      <c r="AA336" s="106"/>
      <c r="AB336" s="106"/>
      <c r="AC336" s="106"/>
      <c r="AD336" s="106"/>
      <c r="AE336" s="106"/>
      <c r="AF336" s="106"/>
      <c r="AG336" s="106"/>
      <c r="AH336" s="106"/>
      <c r="AI336" s="106"/>
      <c r="AJ336" s="106"/>
    </row>
    <row r="337" spans="1:36" s="6" customFormat="1" ht="15" hidden="1">
      <c r="A337" s="106"/>
      <c r="B337" s="106"/>
      <c r="C337" s="106"/>
      <c r="D337" s="106"/>
      <c r="E337" s="106"/>
      <c r="F337" s="106"/>
      <c r="G337" s="106"/>
      <c r="H337" s="106"/>
      <c r="I337" s="106"/>
      <c r="J337" s="106"/>
      <c r="K337" s="106"/>
      <c r="L337" s="106"/>
      <c r="M337" s="106"/>
      <c r="N337" s="106"/>
      <c r="O337" s="106"/>
      <c r="P337" s="106"/>
      <c r="Q337" s="106"/>
      <c r="R337" s="106"/>
      <c r="S337" s="106"/>
      <c r="T337" s="106"/>
      <c r="U337" s="106"/>
      <c r="V337" s="106"/>
      <c r="W337" s="106"/>
      <c r="X337" s="106"/>
      <c r="Y337" s="106"/>
      <c r="Z337" s="106"/>
      <c r="AA337" s="106"/>
      <c r="AB337" s="106"/>
      <c r="AC337" s="106"/>
      <c r="AD337" s="106"/>
      <c r="AE337" s="106"/>
      <c r="AF337" s="106"/>
      <c r="AG337" s="106"/>
      <c r="AH337" s="106"/>
      <c r="AI337" s="106"/>
      <c r="AJ337" s="106"/>
    </row>
    <row r="338" spans="1:36" s="6" customFormat="1" ht="15" hidden="1">
      <c r="A338" s="106"/>
      <c r="B338" s="106"/>
      <c r="C338" s="106"/>
      <c r="D338" s="106"/>
      <c r="E338" s="106"/>
      <c r="F338" s="106"/>
      <c r="G338" s="106"/>
      <c r="H338" s="106"/>
      <c r="I338" s="106"/>
      <c r="J338" s="106"/>
      <c r="K338" s="106"/>
      <c r="L338" s="106"/>
      <c r="M338" s="106"/>
      <c r="N338" s="106"/>
      <c r="O338" s="106"/>
      <c r="P338" s="106"/>
      <c r="Q338" s="106"/>
      <c r="R338" s="106"/>
      <c r="S338" s="106"/>
      <c r="T338" s="106"/>
      <c r="U338" s="106"/>
      <c r="V338" s="106"/>
      <c r="W338" s="106"/>
      <c r="X338" s="106"/>
      <c r="Y338" s="106"/>
      <c r="Z338" s="106"/>
      <c r="AA338" s="106"/>
      <c r="AB338" s="106"/>
      <c r="AC338" s="106"/>
      <c r="AD338" s="106"/>
      <c r="AE338" s="106"/>
      <c r="AF338" s="106"/>
      <c r="AG338" s="106"/>
      <c r="AH338" s="106"/>
      <c r="AI338" s="106"/>
      <c r="AJ338" s="106"/>
    </row>
    <row r="339" spans="1:36" s="6" customFormat="1" ht="15" hidden="1">
      <c r="A339" s="106"/>
      <c r="B339" s="106"/>
      <c r="C339" s="106"/>
      <c r="D339" s="106"/>
      <c r="E339" s="106"/>
      <c r="F339" s="106"/>
      <c r="G339" s="106"/>
      <c r="H339" s="106"/>
      <c r="I339" s="106"/>
      <c r="J339" s="106"/>
      <c r="K339" s="106"/>
      <c r="L339" s="106"/>
      <c r="M339" s="106"/>
      <c r="N339" s="106"/>
      <c r="O339" s="106"/>
      <c r="P339" s="106"/>
      <c r="Q339" s="106"/>
      <c r="R339" s="106"/>
      <c r="S339" s="106"/>
      <c r="T339" s="106"/>
      <c r="U339" s="106"/>
      <c r="V339" s="106"/>
      <c r="W339" s="106"/>
      <c r="X339" s="106"/>
      <c r="Y339" s="106"/>
      <c r="Z339" s="106"/>
      <c r="AA339" s="106"/>
      <c r="AB339" s="106"/>
      <c r="AC339" s="106"/>
      <c r="AD339" s="106"/>
      <c r="AE339" s="106"/>
      <c r="AF339" s="106"/>
      <c r="AG339" s="106"/>
      <c r="AH339" s="106"/>
      <c r="AI339" s="106"/>
      <c r="AJ339" s="106"/>
    </row>
    <row r="340" spans="1:36" s="6" customFormat="1" ht="15" hidden="1">
      <c r="A340" s="106"/>
      <c r="B340" s="106"/>
      <c r="C340" s="106"/>
      <c r="D340" s="106"/>
      <c r="E340" s="106"/>
      <c r="F340" s="106"/>
      <c r="G340" s="106"/>
      <c r="H340" s="106"/>
      <c r="I340" s="106"/>
      <c r="J340" s="106"/>
      <c r="K340" s="106"/>
      <c r="L340" s="106"/>
      <c r="M340" s="106"/>
      <c r="N340" s="106"/>
      <c r="O340" s="106"/>
      <c r="P340" s="106"/>
      <c r="Q340" s="106"/>
      <c r="R340" s="106"/>
      <c r="S340" s="106"/>
      <c r="T340" s="106"/>
      <c r="U340" s="106"/>
      <c r="V340" s="106"/>
      <c r="W340" s="106"/>
      <c r="X340" s="106"/>
      <c r="Y340" s="106"/>
      <c r="Z340" s="106"/>
      <c r="AA340" s="106"/>
      <c r="AB340" s="106"/>
      <c r="AC340" s="106"/>
      <c r="AD340" s="106"/>
      <c r="AE340" s="106"/>
      <c r="AF340" s="106"/>
      <c r="AG340" s="106"/>
      <c r="AH340" s="106"/>
      <c r="AI340" s="106"/>
      <c r="AJ340" s="106"/>
    </row>
    <row r="341" spans="1:36" s="6" customFormat="1" ht="15" hidden="1">
      <c r="A341" s="106"/>
      <c r="B341" s="106"/>
      <c r="C341" s="106"/>
      <c r="D341" s="106"/>
      <c r="E341" s="106"/>
      <c r="F341" s="106"/>
      <c r="G341" s="106"/>
      <c r="H341" s="106"/>
      <c r="I341" s="106"/>
      <c r="J341" s="106"/>
      <c r="K341" s="106"/>
      <c r="L341" s="106"/>
      <c r="M341" s="106"/>
      <c r="N341" s="106"/>
      <c r="O341" s="106"/>
      <c r="P341" s="106"/>
      <c r="Q341" s="106"/>
      <c r="R341" s="106"/>
      <c r="S341" s="106"/>
      <c r="T341" s="106"/>
      <c r="U341" s="106"/>
      <c r="V341" s="106"/>
      <c r="W341" s="106"/>
      <c r="X341" s="106"/>
      <c r="Y341" s="106"/>
      <c r="Z341" s="106"/>
      <c r="AA341" s="106"/>
      <c r="AB341" s="106"/>
      <c r="AC341" s="106"/>
      <c r="AD341" s="106"/>
      <c r="AE341" s="106"/>
      <c r="AF341" s="106"/>
      <c r="AG341" s="106"/>
      <c r="AH341" s="106"/>
      <c r="AI341" s="106"/>
      <c r="AJ341" s="106"/>
    </row>
    <row r="342" spans="1:36" s="6" customFormat="1" ht="15" hidden="1">
      <c r="A342" s="106"/>
      <c r="B342" s="106"/>
      <c r="C342" s="106"/>
      <c r="D342" s="106"/>
      <c r="E342" s="106"/>
      <c r="F342" s="106"/>
      <c r="G342" s="106"/>
      <c r="H342" s="106"/>
      <c r="I342" s="106"/>
      <c r="J342" s="106"/>
      <c r="K342" s="106"/>
      <c r="L342" s="106"/>
      <c r="M342" s="106"/>
      <c r="N342" s="106"/>
      <c r="O342" s="106"/>
      <c r="P342" s="106"/>
      <c r="Q342" s="106"/>
      <c r="R342" s="106"/>
      <c r="S342" s="106"/>
      <c r="T342" s="106"/>
      <c r="U342" s="106"/>
      <c r="V342" s="106"/>
      <c r="W342" s="106"/>
      <c r="X342" s="106"/>
      <c r="Y342" s="106"/>
      <c r="Z342" s="106"/>
      <c r="AA342" s="106"/>
      <c r="AB342" s="106"/>
      <c r="AC342" s="106"/>
      <c r="AD342" s="106"/>
      <c r="AE342" s="106"/>
      <c r="AF342" s="106"/>
      <c r="AG342" s="106"/>
      <c r="AH342" s="106"/>
      <c r="AI342" s="106"/>
      <c r="AJ342" s="106"/>
    </row>
    <row r="343" spans="1:36" s="6" customFormat="1" ht="15" hidden="1">
      <c r="A343" s="106"/>
      <c r="B343" s="106"/>
      <c r="C343" s="106"/>
      <c r="D343" s="106"/>
      <c r="E343" s="106"/>
      <c r="F343" s="106"/>
      <c r="G343" s="106"/>
      <c r="H343" s="106"/>
      <c r="I343" s="106"/>
      <c r="J343" s="106"/>
      <c r="K343" s="106"/>
      <c r="L343" s="106"/>
      <c r="M343" s="106"/>
      <c r="N343" s="106"/>
      <c r="O343" s="106"/>
      <c r="P343" s="106"/>
      <c r="Q343" s="106"/>
      <c r="R343" s="106"/>
      <c r="S343" s="106"/>
      <c r="T343" s="106"/>
      <c r="U343" s="106"/>
      <c r="V343" s="106"/>
      <c r="W343" s="106"/>
      <c r="X343" s="106"/>
      <c r="Y343" s="106"/>
      <c r="Z343" s="106"/>
      <c r="AA343" s="106"/>
      <c r="AB343" s="106"/>
      <c r="AC343" s="106"/>
      <c r="AD343" s="106"/>
      <c r="AE343" s="106"/>
      <c r="AF343" s="106"/>
      <c r="AG343" s="106"/>
      <c r="AH343" s="106"/>
      <c r="AI343" s="106"/>
      <c r="AJ343" s="106"/>
    </row>
    <row r="344" spans="1:36" s="6" customFormat="1" ht="15" hidden="1">
      <c r="A344" s="106"/>
      <c r="B344" s="106"/>
      <c r="C344" s="106"/>
      <c r="D344" s="106"/>
      <c r="E344" s="106"/>
      <c r="F344" s="106"/>
      <c r="G344" s="106"/>
      <c r="H344" s="106"/>
      <c r="I344" s="106"/>
      <c r="J344" s="106"/>
      <c r="K344" s="106"/>
      <c r="L344" s="106"/>
      <c r="M344" s="106"/>
      <c r="N344" s="106"/>
      <c r="O344" s="106"/>
      <c r="P344" s="106"/>
      <c r="Q344" s="106"/>
      <c r="R344" s="106"/>
      <c r="S344" s="106"/>
      <c r="T344" s="106"/>
      <c r="U344" s="106"/>
      <c r="V344" s="106"/>
      <c r="W344" s="106"/>
      <c r="X344" s="106"/>
      <c r="Y344" s="106"/>
      <c r="Z344" s="106"/>
      <c r="AA344" s="106"/>
      <c r="AB344" s="106"/>
      <c r="AC344" s="106"/>
      <c r="AD344" s="106"/>
      <c r="AE344" s="106"/>
      <c r="AF344" s="106"/>
      <c r="AG344" s="106"/>
      <c r="AH344" s="106"/>
      <c r="AI344" s="106"/>
      <c r="AJ344" s="106"/>
    </row>
    <row r="345" spans="1:36" s="6" customFormat="1" ht="15" hidden="1">
      <c r="A345" s="106"/>
      <c r="B345" s="106"/>
      <c r="C345" s="106"/>
      <c r="D345" s="106"/>
      <c r="E345" s="106"/>
      <c r="F345" s="106"/>
      <c r="G345" s="106"/>
      <c r="H345" s="106"/>
      <c r="I345" s="106"/>
      <c r="J345" s="106"/>
      <c r="K345" s="106"/>
      <c r="L345" s="106"/>
      <c r="M345" s="106"/>
      <c r="N345" s="106"/>
      <c r="O345" s="106"/>
      <c r="P345" s="106"/>
      <c r="Q345" s="106"/>
      <c r="R345" s="106"/>
      <c r="S345" s="106"/>
      <c r="T345" s="106"/>
      <c r="U345" s="106"/>
      <c r="V345" s="106"/>
      <c r="W345" s="106"/>
      <c r="X345" s="106"/>
      <c r="Y345" s="106"/>
      <c r="Z345" s="106"/>
      <c r="AA345" s="106"/>
      <c r="AB345" s="106"/>
      <c r="AC345" s="106"/>
      <c r="AD345" s="106"/>
      <c r="AE345" s="106"/>
      <c r="AF345" s="106"/>
      <c r="AG345" s="106"/>
      <c r="AH345" s="106"/>
      <c r="AI345" s="106"/>
      <c r="AJ345" s="106"/>
    </row>
    <row r="346" spans="1:36" s="6" customFormat="1" ht="15" hidden="1">
      <c r="A346" s="106"/>
      <c r="B346" s="106"/>
      <c r="C346" s="106"/>
      <c r="D346" s="106"/>
      <c r="E346" s="106"/>
      <c r="F346" s="106"/>
      <c r="G346" s="106"/>
      <c r="H346" s="106"/>
      <c r="I346" s="106"/>
      <c r="J346" s="106"/>
      <c r="K346" s="106"/>
      <c r="L346" s="106"/>
      <c r="M346" s="106"/>
      <c r="N346" s="106"/>
      <c r="O346" s="106"/>
      <c r="P346" s="106"/>
      <c r="Q346" s="106"/>
      <c r="R346" s="106"/>
      <c r="S346" s="106"/>
      <c r="T346" s="106"/>
      <c r="U346" s="106"/>
      <c r="V346" s="106"/>
      <c r="W346" s="106"/>
      <c r="X346" s="106"/>
      <c r="Y346" s="106"/>
      <c r="Z346" s="106"/>
      <c r="AA346" s="106"/>
      <c r="AB346" s="106"/>
      <c r="AC346" s="106"/>
      <c r="AD346" s="106"/>
      <c r="AE346" s="106"/>
      <c r="AF346" s="106"/>
      <c r="AG346" s="106"/>
      <c r="AH346" s="106"/>
      <c r="AI346" s="106"/>
      <c r="AJ346" s="106"/>
    </row>
    <row r="347" spans="1:36" s="6" customFormat="1" ht="15" hidden="1">
      <c r="A347" s="106"/>
      <c r="B347" s="106"/>
      <c r="C347" s="106"/>
      <c r="D347" s="106"/>
      <c r="E347" s="106"/>
      <c r="F347" s="106"/>
      <c r="G347" s="106"/>
      <c r="H347" s="106"/>
      <c r="I347" s="106"/>
      <c r="J347" s="106"/>
      <c r="K347" s="106"/>
      <c r="L347" s="106"/>
      <c r="M347" s="106"/>
      <c r="N347" s="106"/>
      <c r="O347" s="106"/>
      <c r="P347" s="106"/>
      <c r="Q347" s="106"/>
      <c r="R347" s="106"/>
      <c r="S347" s="106"/>
      <c r="T347" s="106"/>
      <c r="U347" s="106"/>
      <c r="V347" s="106"/>
      <c r="W347" s="106"/>
      <c r="X347" s="106"/>
      <c r="Y347" s="106"/>
      <c r="Z347" s="106"/>
      <c r="AA347" s="106"/>
      <c r="AB347" s="106"/>
      <c r="AC347" s="106"/>
      <c r="AD347" s="106"/>
      <c r="AE347" s="106"/>
      <c r="AF347" s="106"/>
      <c r="AG347" s="106"/>
      <c r="AH347" s="106"/>
      <c r="AI347" s="106"/>
      <c r="AJ347" s="106"/>
    </row>
    <row r="348" spans="1:36" s="6" customFormat="1" ht="15" hidden="1">
      <c r="A348" s="106"/>
      <c r="B348" s="106"/>
      <c r="C348" s="106"/>
      <c r="D348" s="106"/>
      <c r="E348" s="106"/>
      <c r="F348" s="106"/>
      <c r="G348" s="106"/>
      <c r="H348" s="106"/>
      <c r="I348" s="106"/>
      <c r="J348" s="106"/>
      <c r="K348" s="106"/>
      <c r="L348" s="106"/>
      <c r="M348" s="106"/>
      <c r="N348" s="106"/>
      <c r="O348" s="106"/>
      <c r="P348" s="106"/>
      <c r="Q348" s="106"/>
      <c r="R348" s="106"/>
      <c r="S348" s="106"/>
      <c r="T348" s="106"/>
      <c r="U348" s="106"/>
      <c r="V348" s="106"/>
      <c r="W348" s="106"/>
      <c r="X348" s="106"/>
      <c r="Y348" s="106"/>
      <c r="Z348" s="106"/>
      <c r="AA348" s="106"/>
      <c r="AB348" s="106"/>
      <c r="AC348" s="106"/>
      <c r="AD348" s="106"/>
      <c r="AE348" s="106"/>
      <c r="AF348" s="106"/>
      <c r="AG348" s="106"/>
      <c r="AH348" s="106"/>
      <c r="AI348" s="106"/>
      <c r="AJ348" s="106"/>
    </row>
    <row r="349" spans="1:36" s="6" customFormat="1" ht="15" hidden="1">
      <c r="A349" s="106"/>
      <c r="B349" s="106"/>
      <c r="C349" s="106"/>
      <c r="D349" s="106"/>
      <c r="E349" s="106"/>
      <c r="F349" s="106"/>
      <c r="G349" s="106"/>
      <c r="H349" s="106"/>
      <c r="I349" s="106"/>
      <c r="J349" s="106"/>
      <c r="K349" s="106"/>
      <c r="L349" s="106"/>
      <c r="M349" s="106"/>
      <c r="N349" s="106"/>
      <c r="O349" s="106"/>
      <c r="P349" s="106"/>
      <c r="Q349" s="106"/>
      <c r="R349" s="106"/>
      <c r="S349" s="106"/>
      <c r="T349" s="106"/>
      <c r="U349" s="106"/>
      <c r="V349" s="106"/>
      <c r="W349" s="106"/>
      <c r="X349" s="106"/>
      <c r="Y349" s="106"/>
      <c r="Z349" s="106"/>
      <c r="AA349" s="106"/>
      <c r="AB349" s="106"/>
      <c r="AC349" s="106"/>
      <c r="AD349" s="106"/>
      <c r="AE349" s="106"/>
      <c r="AF349" s="106"/>
      <c r="AG349" s="106"/>
      <c r="AH349" s="106"/>
      <c r="AI349" s="106"/>
      <c r="AJ349" s="106"/>
    </row>
    <row r="350" spans="1:36" s="6" customFormat="1" ht="15" hidden="1">
      <c r="A350" s="106"/>
      <c r="B350" s="106"/>
      <c r="C350" s="106"/>
      <c r="D350" s="106"/>
      <c r="E350" s="106"/>
      <c r="F350" s="106"/>
      <c r="G350" s="106"/>
      <c r="H350" s="106"/>
      <c r="I350" s="106"/>
      <c r="J350" s="106"/>
      <c r="K350" s="106"/>
      <c r="L350" s="106"/>
      <c r="M350" s="106"/>
      <c r="N350" s="106"/>
      <c r="O350" s="106"/>
      <c r="P350" s="106"/>
      <c r="Q350" s="106"/>
      <c r="R350" s="106"/>
      <c r="S350" s="106"/>
      <c r="T350" s="106"/>
      <c r="U350" s="106"/>
      <c r="V350" s="106"/>
      <c r="W350" s="106"/>
      <c r="X350" s="106"/>
      <c r="Y350" s="106"/>
      <c r="Z350" s="106"/>
      <c r="AA350" s="106"/>
      <c r="AB350" s="106"/>
      <c r="AC350" s="106"/>
      <c r="AD350" s="106"/>
      <c r="AE350" s="106"/>
      <c r="AF350" s="106"/>
      <c r="AG350" s="106"/>
      <c r="AH350" s="106"/>
      <c r="AI350" s="106"/>
      <c r="AJ350" s="106"/>
    </row>
    <row r="351" spans="1:36" s="6" customFormat="1" ht="15" hidden="1">
      <c r="A351" s="106"/>
      <c r="B351" s="106"/>
      <c r="C351" s="106"/>
      <c r="D351" s="106"/>
      <c r="E351" s="106"/>
      <c r="F351" s="106"/>
      <c r="G351" s="106"/>
      <c r="H351" s="106"/>
      <c r="I351" s="106"/>
      <c r="J351" s="106"/>
      <c r="K351" s="106"/>
      <c r="L351" s="106"/>
      <c r="M351" s="106"/>
      <c r="N351" s="106"/>
      <c r="O351" s="106"/>
      <c r="P351" s="106"/>
      <c r="Q351" s="106"/>
      <c r="R351" s="106"/>
      <c r="S351" s="106"/>
      <c r="T351" s="106"/>
      <c r="U351" s="106"/>
      <c r="V351" s="106"/>
      <c r="W351" s="106"/>
      <c r="X351" s="106"/>
      <c r="Y351" s="106"/>
      <c r="Z351" s="106"/>
      <c r="AA351" s="106"/>
      <c r="AB351" s="106"/>
      <c r="AC351" s="106"/>
      <c r="AD351" s="106"/>
      <c r="AE351" s="106"/>
      <c r="AF351" s="106"/>
      <c r="AG351" s="106"/>
      <c r="AH351" s="106"/>
      <c r="AI351" s="106"/>
      <c r="AJ351" s="106"/>
    </row>
    <row r="352" spans="1:36" s="6" customFormat="1" ht="15" hidden="1">
      <c r="A352" s="106"/>
      <c r="B352" s="106"/>
      <c r="C352" s="106"/>
      <c r="D352" s="106"/>
      <c r="E352" s="106"/>
      <c r="F352" s="106"/>
      <c r="G352" s="106"/>
      <c r="H352" s="106"/>
      <c r="I352" s="106"/>
      <c r="J352" s="106"/>
      <c r="K352" s="106"/>
      <c r="L352" s="106"/>
      <c r="M352" s="106"/>
      <c r="N352" s="106"/>
      <c r="O352" s="106"/>
      <c r="P352" s="106"/>
      <c r="Q352" s="106"/>
      <c r="R352" s="106"/>
      <c r="S352" s="106"/>
      <c r="T352" s="106"/>
      <c r="U352" s="106"/>
      <c r="V352" s="106"/>
      <c r="W352" s="106"/>
      <c r="X352" s="106"/>
      <c r="Y352" s="106"/>
      <c r="Z352" s="106"/>
      <c r="AA352" s="106"/>
      <c r="AB352" s="106"/>
      <c r="AC352" s="106"/>
      <c r="AD352" s="106"/>
      <c r="AE352" s="106"/>
      <c r="AF352" s="106"/>
      <c r="AG352" s="106"/>
      <c r="AH352" s="106"/>
      <c r="AI352" s="106"/>
      <c r="AJ352" s="106"/>
    </row>
    <row r="353" spans="1:36" s="6" customFormat="1" ht="15" hidden="1">
      <c r="A353" s="106"/>
      <c r="B353" s="106"/>
      <c r="C353" s="106"/>
      <c r="D353" s="106"/>
      <c r="E353" s="106"/>
      <c r="F353" s="106"/>
      <c r="G353" s="106"/>
      <c r="H353" s="106"/>
      <c r="I353" s="106"/>
      <c r="J353" s="106"/>
      <c r="K353" s="106"/>
      <c r="L353" s="106"/>
      <c r="M353" s="106"/>
      <c r="N353" s="106"/>
      <c r="O353" s="106"/>
      <c r="P353" s="106"/>
      <c r="Q353" s="106"/>
      <c r="R353" s="106"/>
      <c r="S353" s="106"/>
      <c r="T353" s="106"/>
      <c r="U353" s="106"/>
      <c r="V353" s="106"/>
      <c r="W353" s="106"/>
      <c r="X353" s="106"/>
      <c r="Y353" s="106"/>
      <c r="Z353" s="106"/>
      <c r="AA353" s="106"/>
      <c r="AB353" s="106"/>
      <c r="AC353" s="106"/>
      <c r="AD353" s="106"/>
      <c r="AE353" s="106"/>
      <c r="AF353" s="106"/>
      <c r="AG353" s="106"/>
      <c r="AH353" s="106"/>
      <c r="AI353" s="106"/>
      <c r="AJ353" s="106"/>
    </row>
    <row r="354" spans="1:36" s="6" customFormat="1" ht="15" hidden="1">
      <c r="A354" s="106"/>
      <c r="B354" s="106"/>
      <c r="C354" s="106"/>
      <c r="D354" s="106"/>
      <c r="E354" s="106"/>
      <c r="F354" s="106"/>
      <c r="G354" s="106"/>
      <c r="H354" s="106"/>
      <c r="I354" s="106"/>
      <c r="J354" s="106"/>
      <c r="K354" s="106"/>
      <c r="L354" s="106"/>
      <c r="M354" s="106"/>
      <c r="N354" s="106"/>
      <c r="O354" s="106"/>
      <c r="P354" s="106"/>
      <c r="Q354" s="106"/>
      <c r="R354" s="106"/>
      <c r="S354" s="106"/>
      <c r="T354" s="106"/>
      <c r="U354" s="106"/>
      <c r="V354" s="106"/>
      <c r="W354" s="106"/>
      <c r="X354" s="106"/>
      <c r="Y354" s="106"/>
      <c r="Z354" s="106"/>
      <c r="AA354" s="106"/>
      <c r="AB354" s="106"/>
      <c r="AC354" s="106"/>
      <c r="AD354" s="106"/>
      <c r="AE354" s="106"/>
      <c r="AF354" s="106"/>
      <c r="AG354" s="106"/>
      <c r="AH354" s="106"/>
      <c r="AI354" s="106"/>
      <c r="AJ354" s="106"/>
    </row>
    <row r="355" spans="1:36" s="6" customFormat="1" ht="15" hidden="1">
      <c r="A355" s="106"/>
      <c r="B355" s="106"/>
      <c r="C355" s="106"/>
      <c r="D355" s="106"/>
      <c r="E355" s="106"/>
      <c r="F355" s="106"/>
      <c r="G355" s="106"/>
      <c r="H355" s="106"/>
      <c r="I355" s="106"/>
      <c r="J355" s="106"/>
      <c r="K355" s="106"/>
      <c r="L355" s="106"/>
      <c r="M355" s="106"/>
      <c r="N355" s="106"/>
      <c r="O355" s="106"/>
      <c r="P355" s="106"/>
      <c r="Q355" s="106"/>
      <c r="R355" s="106"/>
      <c r="S355" s="106"/>
      <c r="T355" s="106"/>
      <c r="U355" s="106"/>
      <c r="V355" s="106"/>
      <c r="W355" s="106"/>
      <c r="X355" s="106"/>
      <c r="Y355" s="106"/>
      <c r="Z355" s="106"/>
      <c r="AA355" s="106"/>
      <c r="AB355" s="106"/>
      <c r="AC355" s="106"/>
      <c r="AD355" s="106"/>
      <c r="AE355" s="106"/>
      <c r="AF355" s="106"/>
      <c r="AG355" s="106"/>
      <c r="AH355" s="106"/>
      <c r="AI355" s="106"/>
      <c r="AJ355" s="106"/>
    </row>
    <row r="356" spans="1:36" s="6" customFormat="1" ht="15" hidden="1">
      <c r="A356" s="106"/>
      <c r="B356" s="106"/>
      <c r="C356" s="106"/>
      <c r="D356" s="106"/>
      <c r="E356" s="106"/>
      <c r="F356" s="106"/>
      <c r="G356" s="106"/>
      <c r="H356" s="106"/>
      <c r="I356" s="106"/>
      <c r="J356" s="106"/>
      <c r="K356" s="106"/>
      <c r="L356" s="106"/>
      <c r="M356" s="106"/>
      <c r="N356" s="106"/>
      <c r="O356" s="106"/>
      <c r="P356" s="106"/>
      <c r="Q356" s="106"/>
      <c r="R356" s="106"/>
      <c r="S356" s="106"/>
      <c r="T356" s="106"/>
      <c r="U356" s="106"/>
      <c r="V356" s="106"/>
      <c r="W356" s="106"/>
      <c r="X356" s="106"/>
      <c r="Y356" s="106"/>
      <c r="Z356" s="106"/>
      <c r="AA356" s="106"/>
      <c r="AB356" s="106"/>
      <c r="AC356" s="106"/>
      <c r="AD356" s="106"/>
      <c r="AE356" s="106"/>
      <c r="AF356" s="106"/>
      <c r="AG356" s="106"/>
      <c r="AH356" s="106"/>
      <c r="AI356" s="106"/>
      <c r="AJ356" s="106"/>
    </row>
    <row r="357" spans="1:36" s="6" customFormat="1" ht="15" hidden="1">
      <c r="A357" s="106"/>
      <c r="B357" s="106"/>
      <c r="C357" s="106"/>
      <c r="D357" s="106"/>
      <c r="E357" s="106"/>
      <c r="F357" s="106"/>
      <c r="G357" s="106"/>
      <c r="H357" s="106"/>
      <c r="I357" s="106"/>
      <c r="J357" s="106"/>
      <c r="K357" s="106"/>
      <c r="L357" s="106"/>
      <c r="M357" s="106"/>
      <c r="N357" s="106"/>
      <c r="O357" s="106"/>
      <c r="P357" s="106"/>
      <c r="Q357" s="106"/>
      <c r="R357" s="106"/>
      <c r="S357" s="106"/>
      <c r="T357" s="106"/>
      <c r="U357" s="106"/>
      <c r="V357" s="106"/>
      <c r="W357" s="106"/>
      <c r="X357" s="106"/>
      <c r="Y357" s="106"/>
      <c r="Z357" s="106"/>
      <c r="AA357" s="106"/>
      <c r="AB357" s="106"/>
      <c r="AC357" s="106"/>
      <c r="AD357" s="106"/>
      <c r="AE357" s="106"/>
      <c r="AF357" s="106"/>
      <c r="AG357" s="106"/>
      <c r="AH357" s="106"/>
      <c r="AI357" s="106"/>
      <c r="AJ357" s="106"/>
    </row>
    <row r="358" spans="1:36" s="6" customFormat="1" ht="15" hidden="1">
      <c r="A358" s="106"/>
      <c r="B358" s="106"/>
      <c r="C358" s="106"/>
      <c r="D358" s="106"/>
      <c r="E358" s="106"/>
      <c r="F358" s="106"/>
      <c r="G358" s="106"/>
      <c r="H358" s="106"/>
      <c r="I358" s="106"/>
      <c r="J358" s="106"/>
      <c r="K358" s="106"/>
      <c r="L358" s="106"/>
      <c r="M358" s="106"/>
      <c r="N358" s="106"/>
      <c r="O358" s="106"/>
      <c r="P358" s="106"/>
      <c r="Q358" s="106"/>
      <c r="R358" s="106"/>
      <c r="S358" s="106"/>
      <c r="T358" s="106"/>
      <c r="U358" s="106"/>
      <c r="V358" s="106"/>
      <c r="W358" s="106"/>
      <c r="X358" s="106"/>
      <c r="Y358" s="106"/>
      <c r="Z358" s="106"/>
      <c r="AA358" s="106"/>
      <c r="AB358" s="106"/>
      <c r="AC358" s="106"/>
      <c r="AD358" s="106"/>
      <c r="AE358" s="106"/>
      <c r="AF358" s="106"/>
      <c r="AG358" s="106"/>
      <c r="AH358" s="106"/>
      <c r="AI358" s="106"/>
      <c r="AJ358" s="106"/>
    </row>
    <row r="359" spans="1:36" s="6" customFormat="1" ht="15" hidden="1">
      <c r="A359" s="106"/>
      <c r="B359" s="106"/>
      <c r="C359" s="106"/>
      <c r="D359" s="106"/>
      <c r="E359" s="106"/>
      <c r="F359" s="106"/>
      <c r="G359" s="106"/>
      <c r="H359" s="106"/>
      <c r="I359" s="106"/>
      <c r="J359" s="106"/>
      <c r="K359" s="106"/>
      <c r="L359" s="106"/>
      <c r="M359" s="106"/>
      <c r="N359" s="106"/>
      <c r="O359" s="106"/>
      <c r="P359" s="106"/>
      <c r="Q359" s="106"/>
      <c r="R359" s="106"/>
      <c r="S359" s="106"/>
      <c r="T359" s="106"/>
      <c r="U359" s="106"/>
      <c r="V359" s="106"/>
      <c r="W359" s="106"/>
      <c r="X359" s="106"/>
      <c r="Y359" s="106"/>
      <c r="Z359" s="106"/>
      <c r="AA359" s="106"/>
      <c r="AB359" s="106"/>
      <c r="AC359" s="106"/>
      <c r="AD359" s="106"/>
      <c r="AE359" s="106"/>
      <c r="AF359" s="106"/>
      <c r="AG359" s="106"/>
      <c r="AH359" s="106"/>
      <c r="AI359" s="106"/>
      <c r="AJ359" s="106"/>
    </row>
    <row r="360" spans="1:36" s="6" customFormat="1" ht="15" hidden="1">
      <c r="A360" s="106"/>
      <c r="B360" s="106"/>
      <c r="C360" s="106"/>
      <c r="D360" s="106"/>
      <c r="E360" s="106"/>
      <c r="F360" s="106"/>
      <c r="G360" s="106"/>
      <c r="H360" s="106"/>
      <c r="I360" s="106"/>
      <c r="J360" s="106"/>
      <c r="K360" s="106"/>
      <c r="L360" s="106"/>
      <c r="M360" s="106"/>
      <c r="N360" s="106"/>
      <c r="O360" s="106"/>
      <c r="P360" s="106"/>
      <c r="Q360" s="106"/>
      <c r="R360" s="106"/>
      <c r="S360" s="106"/>
      <c r="T360" s="106"/>
      <c r="U360" s="106"/>
      <c r="V360" s="106"/>
      <c r="W360" s="106"/>
      <c r="X360" s="106"/>
      <c r="Y360" s="106"/>
      <c r="Z360" s="106"/>
      <c r="AA360" s="106"/>
      <c r="AB360" s="106"/>
      <c r="AC360" s="106"/>
      <c r="AD360" s="106"/>
      <c r="AE360" s="106"/>
      <c r="AF360" s="106"/>
      <c r="AG360" s="106"/>
      <c r="AH360" s="106"/>
      <c r="AI360" s="106"/>
      <c r="AJ360" s="106"/>
    </row>
    <row r="361" spans="1:36" s="6" customFormat="1" ht="15" hidden="1">
      <c r="A361" s="106"/>
      <c r="B361" s="106"/>
      <c r="C361" s="106"/>
      <c r="D361" s="106"/>
      <c r="E361" s="106"/>
      <c r="F361" s="106"/>
      <c r="G361" s="106"/>
      <c r="H361" s="106"/>
      <c r="I361" s="106"/>
      <c r="J361" s="106"/>
      <c r="K361" s="106"/>
      <c r="L361" s="106"/>
      <c r="M361" s="106"/>
      <c r="N361" s="106"/>
      <c r="O361" s="106"/>
      <c r="P361" s="106"/>
      <c r="Q361" s="106"/>
      <c r="R361" s="106"/>
      <c r="S361" s="106"/>
      <c r="T361" s="106"/>
      <c r="U361" s="106"/>
      <c r="V361" s="106"/>
      <c r="W361" s="106"/>
      <c r="X361" s="106"/>
      <c r="Y361" s="106"/>
      <c r="Z361" s="106"/>
      <c r="AA361" s="106"/>
      <c r="AB361" s="106"/>
      <c r="AC361" s="106"/>
      <c r="AD361" s="106"/>
      <c r="AE361" s="106"/>
      <c r="AF361" s="106"/>
      <c r="AG361" s="106"/>
      <c r="AH361" s="106"/>
      <c r="AI361" s="106"/>
      <c r="AJ361" s="106"/>
    </row>
    <row r="362" spans="1:36" s="6" customFormat="1" ht="15" hidden="1">
      <c r="A362" s="106"/>
      <c r="B362" s="106"/>
      <c r="C362" s="106"/>
      <c r="D362" s="106"/>
      <c r="E362" s="106"/>
      <c r="F362" s="106"/>
      <c r="G362" s="106"/>
      <c r="H362" s="106"/>
      <c r="I362" s="106"/>
      <c r="J362" s="106"/>
      <c r="K362" s="106"/>
      <c r="L362" s="106"/>
      <c r="M362" s="106"/>
      <c r="N362" s="106"/>
      <c r="O362" s="106"/>
      <c r="P362" s="106"/>
      <c r="Q362" s="106"/>
      <c r="R362" s="106"/>
      <c r="S362" s="106"/>
      <c r="T362" s="106"/>
      <c r="U362" s="106"/>
      <c r="V362" s="106"/>
      <c r="W362" s="106"/>
      <c r="X362" s="106"/>
      <c r="Y362" s="106"/>
      <c r="Z362" s="106"/>
      <c r="AA362" s="106"/>
      <c r="AB362" s="106"/>
      <c r="AC362" s="106"/>
      <c r="AD362" s="106"/>
      <c r="AE362" s="106"/>
      <c r="AF362" s="106"/>
      <c r="AG362" s="106"/>
      <c r="AH362" s="106"/>
      <c r="AI362" s="106"/>
      <c r="AJ362" s="106"/>
    </row>
    <row r="363" spans="1:36" s="6" customFormat="1" ht="15" hidden="1">
      <c r="A363" s="106"/>
      <c r="B363" s="106"/>
      <c r="C363" s="106"/>
      <c r="D363" s="106"/>
      <c r="E363" s="106"/>
      <c r="F363" s="106"/>
      <c r="G363" s="106"/>
      <c r="H363" s="106"/>
      <c r="I363" s="106"/>
      <c r="J363" s="106"/>
      <c r="K363" s="106"/>
      <c r="L363" s="106"/>
      <c r="M363" s="106"/>
      <c r="N363" s="106"/>
      <c r="O363" s="106"/>
      <c r="P363" s="106"/>
      <c r="Q363" s="106"/>
      <c r="R363" s="106"/>
      <c r="S363" s="106"/>
      <c r="T363" s="106"/>
      <c r="U363" s="106"/>
      <c r="V363" s="106"/>
      <c r="W363" s="106"/>
      <c r="X363" s="106"/>
      <c r="Y363" s="106"/>
      <c r="Z363" s="106"/>
      <c r="AA363" s="106"/>
      <c r="AB363" s="106"/>
      <c r="AC363" s="106"/>
      <c r="AD363" s="106"/>
      <c r="AE363" s="106"/>
      <c r="AF363" s="106"/>
      <c r="AG363" s="106"/>
      <c r="AH363" s="106"/>
      <c r="AI363" s="106"/>
      <c r="AJ363" s="106"/>
    </row>
    <row r="364" spans="1:36" s="6" customFormat="1" ht="15" hidden="1">
      <c r="A364" s="106"/>
      <c r="B364" s="106"/>
      <c r="C364" s="106"/>
      <c r="D364" s="106"/>
      <c r="E364" s="106"/>
      <c r="F364" s="106"/>
      <c r="G364" s="106"/>
      <c r="H364" s="106"/>
      <c r="I364" s="106"/>
      <c r="J364" s="106"/>
      <c r="K364" s="106"/>
      <c r="L364" s="106"/>
      <c r="M364" s="106"/>
      <c r="N364" s="106"/>
      <c r="O364" s="106"/>
      <c r="P364" s="106"/>
      <c r="Q364" s="106"/>
      <c r="R364" s="106"/>
      <c r="S364" s="106"/>
      <c r="T364" s="106"/>
      <c r="U364" s="106"/>
      <c r="V364" s="106"/>
      <c r="W364" s="106"/>
      <c r="X364" s="106"/>
      <c r="Y364" s="106"/>
      <c r="Z364" s="106"/>
      <c r="AA364" s="106"/>
      <c r="AB364" s="106"/>
      <c r="AC364" s="106"/>
      <c r="AD364" s="106"/>
      <c r="AE364" s="106"/>
      <c r="AF364" s="106"/>
      <c r="AG364" s="106"/>
      <c r="AH364" s="106"/>
      <c r="AI364" s="106"/>
      <c r="AJ364" s="106"/>
    </row>
    <row r="365" spans="1:36" s="6" customFormat="1" ht="15" hidden="1">
      <c r="A365" s="106"/>
      <c r="B365" s="106"/>
      <c r="C365" s="106"/>
      <c r="D365" s="106"/>
      <c r="E365" s="106"/>
      <c r="F365" s="106"/>
      <c r="G365" s="106"/>
      <c r="H365" s="106"/>
      <c r="I365" s="106"/>
      <c r="J365" s="106"/>
      <c r="K365" s="106"/>
      <c r="L365" s="106"/>
      <c r="M365" s="106"/>
      <c r="N365" s="106"/>
      <c r="O365" s="106"/>
      <c r="P365" s="106"/>
      <c r="Q365" s="106"/>
      <c r="R365" s="106"/>
      <c r="S365" s="106"/>
      <c r="T365" s="106"/>
      <c r="U365" s="106"/>
      <c r="V365" s="106"/>
      <c r="W365" s="106"/>
      <c r="X365" s="106"/>
      <c r="Y365" s="106"/>
      <c r="Z365" s="106"/>
      <c r="AA365" s="106"/>
      <c r="AB365" s="106"/>
      <c r="AC365" s="106"/>
      <c r="AD365" s="106"/>
      <c r="AE365" s="106"/>
      <c r="AF365" s="106"/>
      <c r="AG365" s="106"/>
      <c r="AH365" s="106"/>
      <c r="AI365" s="106"/>
      <c r="AJ365" s="106"/>
    </row>
    <row r="366" spans="1:36" s="6" customFormat="1" ht="15" hidden="1">
      <c r="A366" s="106"/>
      <c r="B366" s="106"/>
      <c r="C366" s="106"/>
      <c r="D366" s="106"/>
      <c r="E366" s="106"/>
      <c r="F366" s="106"/>
      <c r="G366" s="106"/>
      <c r="H366" s="106"/>
      <c r="I366" s="106"/>
      <c r="J366" s="106"/>
      <c r="K366" s="106"/>
      <c r="L366" s="106"/>
      <c r="M366" s="106"/>
      <c r="N366" s="106"/>
      <c r="O366" s="106"/>
      <c r="P366" s="106"/>
      <c r="Q366" s="106"/>
      <c r="R366" s="106"/>
      <c r="S366" s="106"/>
      <c r="T366" s="106"/>
      <c r="U366" s="106"/>
      <c r="V366" s="106"/>
      <c r="W366" s="106"/>
      <c r="X366" s="106"/>
      <c r="Y366" s="106"/>
      <c r="Z366" s="106"/>
      <c r="AA366" s="106"/>
      <c r="AB366" s="106"/>
      <c r="AC366" s="106"/>
      <c r="AD366" s="106"/>
      <c r="AE366" s="106"/>
      <c r="AF366" s="106"/>
      <c r="AG366" s="106"/>
      <c r="AH366" s="106"/>
      <c r="AI366" s="106"/>
      <c r="AJ366" s="106"/>
    </row>
    <row r="367" spans="1:36" s="6" customFormat="1" ht="15" hidden="1">
      <c r="A367" s="106"/>
      <c r="B367" s="106"/>
      <c r="C367" s="106"/>
      <c r="D367" s="106"/>
      <c r="E367" s="106"/>
      <c r="F367" s="106"/>
      <c r="G367" s="106"/>
      <c r="H367" s="106"/>
      <c r="I367" s="106"/>
      <c r="J367" s="106"/>
      <c r="K367" s="106"/>
      <c r="L367" s="106"/>
      <c r="M367" s="106"/>
      <c r="N367" s="106"/>
      <c r="O367" s="106"/>
      <c r="P367" s="106"/>
      <c r="Q367" s="106"/>
      <c r="R367" s="106"/>
      <c r="S367" s="106"/>
      <c r="T367" s="106"/>
      <c r="U367" s="106"/>
      <c r="V367" s="106"/>
      <c r="W367" s="106"/>
      <c r="X367" s="106"/>
      <c r="Y367" s="106"/>
      <c r="Z367" s="106"/>
      <c r="AA367" s="106"/>
      <c r="AB367" s="106"/>
      <c r="AC367" s="106"/>
      <c r="AD367" s="106"/>
      <c r="AE367" s="106"/>
      <c r="AF367" s="106"/>
      <c r="AG367" s="106"/>
      <c r="AH367" s="106"/>
      <c r="AI367" s="106"/>
      <c r="AJ367" s="106"/>
    </row>
    <row r="368" spans="1:36" s="6" customFormat="1" ht="15" hidden="1">
      <c r="A368" s="106"/>
      <c r="B368" s="106"/>
      <c r="C368" s="106"/>
      <c r="D368" s="106"/>
      <c r="E368" s="106"/>
      <c r="F368" s="106"/>
      <c r="G368" s="106"/>
      <c r="H368" s="106"/>
      <c r="I368" s="106"/>
      <c r="J368" s="106"/>
      <c r="K368" s="106"/>
      <c r="L368" s="106"/>
      <c r="M368" s="106"/>
      <c r="N368" s="106"/>
      <c r="O368" s="106"/>
      <c r="P368" s="106"/>
      <c r="Q368" s="106"/>
      <c r="R368" s="106"/>
      <c r="S368" s="106"/>
      <c r="T368" s="106"/>
      <c r="U368" s="106"/>
      <c r="V368" s="106"/>
      <c r="W368" s="106"/>
      <c r="X368" s="106"/>
      <c r="Y368" s="106"/>
      <c r="Z368" s="106"/>
      <c r="AA368" s="106"/>
      <c r="AB368" s="106"/>
      <c r="AC368" s="106"/>
      <c r="AD368" s="106"/>
      <c r="AE368" s="106"/>
      <c r="AF368" s="106"/>
      <c r="AG368" s="106"/>
      <c r="AH368" s="106"/>
      <c r="AI368" s="106"/>
      <c r="AJ368" s="106"/>
    </row>
    <row r="369" spans="1:36" s="6" customFormat="1" ht="15" hidden="1">
      <c r="A369" s="106"/>
      <c r="B369" s="106"/>
      <c r="C369" s="106"/>
      <c r="D369" s="106"/>
      <c r="E369" s="106"/>
      <c r="F369" s="106"/>
      <c r="G369" s="106"/>
      <c r="H369" s="106"/>
      <c r="I369" s="106"/>
      <c r="J369" s="106"/>
      <c r="K369" s="106"/>
      <c r="L369" s="106"/>
      <c r="M369" s="106"/>
      <c r="N369" s="106"/>
      <c r="O369" s="106"/>
      <c r="P369" s="106"/>
      <c r="Q369" s="106"/>
      <c r="R369" s="106"/>
      <c r="S369" s="106"/>
      <c r="T369" s="106"/>
      <c r="U369" s="106"/>
      <c r="V369" s="106"/>
      <c r="W369" s="106"/>
      <c r="X369" s="106"/>
      <c r="Y369" s="106"/>
      <c r="Z369" s="106"/>
      <c r="AA369" s="106"/>
      <c r="AB369" s="106"/>
      <c r="AC369" s="106"/>
      <c r="AD369" s="106"/>
      <c r="AE369" s="106"/>
      <c r="AF369" s="106"/>
      <c r="AG369" s="106"/>
      <c r="AH369" s="106"/>
      <c r="AI369" s="106"/>
      <c r="AJ369" s="106"/>
    </row>
    <row r="370" spans="1:36" ht="15" hidden="1"/>
    <row r="371" spans="1:36" ht="15" hidden="1"/>
    <row r="372" spans="1:36" ht="15" hidden="1"/>
    <row r="373" spans="1:36" ht="15" hidden="1"/>
    <row r="374" spans="1:36" ht="15" hidden="1"/>
    <row r="375" spans="1:36" ht="15" hidden="1"/>
    <row r="376" spans="1:36" ht="15" hidden="1"/>
    <row r="377" spans="1:36" ht="15" hidden="1"/>
    <row r="378" spans="1:36" ht="15" hidden="1"/>
    <row r="379" spans="1:36" ht="15" hidden="1"/>
    <row r="380" spans="1:36" ht="15" hidden="1"/>
    <row r="381" spans="1:36" ht="15" hidden="1"/>
    <row r="382" spans="1:36" ht="15" hidden="1"/>
    <row r="383" spans="1:36" ht="15" hidden="1"/>
    <row r="384" spans="1:36" ht="15" hidden="1"/>
    <row r="385" ht="15" hidden="1"/>
    <row r="386" ht="15" hidden="1"/>
    <row r="387" ht="15" hidden="1"/>
    <row r="388" ht="15" hidden="1"/>
    <row r="389" ht="15" hidden="1"/>
    <row r="390" ht="15" hidden="1"/>
    <row r="391" ht="15" hidden="1"/>
    <row r="392" ht="15" hidden="1"/>
    <row r="393" ht="15" hidden="1"/>
    <row r="394" ht="15" hidden="1"/>
    <row r="395" ht="15" hidden="1"/>
    <row r="396" ht="15" hidden="1"/>
    <row r="397" ht="15" hidden="1"/>
    <row r="398" ht="15" hidden="1"/>
    <row r="399" ht="15" hidden="1"/>
    <row r="400" ht="20.100000000000001" hidden="1" customHeight="1"/>
    <row r="401" ht="15" hidden="1"/>
    <row r="402" ht="15" hidden="1"/>
    <row r="403" ht="15" hidden="1"/>
    <row r="404" ht="15" hidden="1"/>
    <row r="405" ht="30" hidden="1" customHeight="1"/>
    <row r="406" ht="30" hidden="1" customHeight="1"/>
    <row r="407" ht="15" hidden="1"/>
    <row r="408" ht="30" hidden="1" customHeight="1"/>
    <row r="409" ht="24.95" hidden="1" customHeight="1"/>
    <row r="410" ht="24.95" hidden="1" customHeight="1"/>
    <row r="411" ht="24.95" hidden="1" customHeight="1"/>
    <row r="412" ht="24.95" hidden="1" customHeight="1"/>
    <row r="413" ht="24.95" hidden="1" customHeight="1"/>
    <row r="414" ht="24.95" hidden="1" customHeight="1"/>
    <row r="415" ht="24.95" hidden="1" customHeight="1"/>
    <row r="416" ht="24.95" hidden="1" customHeight="1"/>
    <row r="417" ht="24.95" hidden="1" customHeight="1"/>
    <row r="418" ht="24.95" hidden="1" customHeight="1"/>
    <row r="419" ht="24.95" hidden="1" customHeight="1"/>
    <row r="420" ht="24.95" hidden="1" customHeight="1"/>
    <row r="421" ht="24.95" hidden="1" customHeight="1"/>
    <row r="422" ht="24.95" hidden="1" customHeight="1"/>
    <row r="423" ht="24.95" hidden="1" customHeight="1"/>
    <row r="424" ht="24.95" hidden="1" customHeight="1"/>
    <row r="425" ht="24.95" hidden="1" customHeight="1"/>
    <row r="426" ht="24.95" hidden="1" customHeight="1"/>
    <row r="427" ht="24.95" hidden="1" customHeight="1"/>
    <row r="428" ht="24.95" hidden="1" customHeight="1"/>
    <row r="429" ht="24.95" hidden="1" customHeight="1"/>
    <row r="430" ht="15" hidden="1"/>
    <row r="431" ht="15" hidden="1"/>
    <row r="432" ht="15" hidden="1"/>
    <row r="433" ht="15" hidden="1"/>
    <row r="434" ht="15" hidden="1"/>
    <row r="435" ht="15" hidden="1"/>
    <row r="436" ht="15" hidden="1"/>
    <row r="437" ht="15" hidden="1"/>
    <row r="438" ht="15" hidden="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5" hidden="1" customHeight="1"/>
    <row r="477" ht="15" hidden="1" customHeight="1"/>
    <row r="478" ht="15" hidden="1" customHeight="1"/>
    <row r="479" ht="15" hidden="1" customHeight="1"/>
    <row r="480"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row r="488" ht="15" hidden="1" customHeight="1"/>
    <row r="489" ht="15" hidden="1" customHeight="1"/>
    <row r="490" ht="15" hidden="1" customHeight="1"/>
    <row r="491" ht="15" hidden="1" customHeight="1"/>
    <row r="492" ht="15" hidden="1" customHeight="1"/>
    <row r="493" ht="15" hidden="1" customHeight="1"/>
    <row r="494" ht="15" hidden="1" customHeight="1"/>
    <row r="495" ht="15" hidden="1"/>
    <row r="496" ht="15" hidden="1"/>
    <row r="497" ht="15" hidden="1"/>
    <row r="498" ht="15" hidden="1"/>
    <row r="499" ht="15" hidden="1"/>
    <row r="500" ht="15" hidden="1"/>
    <row r="501" ht="15" hidden="1"/>
    <row r="502" ht="15" hidden="1"/>
    <row r="503" ht="15" hidden="1"/>
    <row r="504" ht="15" hidden="1"/>
    <row r="505" ht="15" hidden="1"/>
    <row r="506" ht="15" hidden="1"/>
    <row r="507" ht="15" hidden="1"/>
    <row r="508" ht="15" hidden="1"/>
    <row r="509" ht="15" hidden="1"/>
    <row r="510" ht="15" hidden="1"/>
    <row r="511" ht="15" hidden="1"/>
    <row r="512" ht="15" hidden="1"/>
    <row r="513" ht="15" hidden="1"/>
    <row r="514" ht="15" hidden="1"/>
    <row r="515" ht="15" hidden="1"/>
    <row r="516" ht="15" hidden="1"/>
    <row r="517" ht="15" hidden="1"/>
    <row r="518" ht="15" hidden="1"/>
    <row r="519" ht="15" hidden="1"/>
    <row r="520" ht="15" hidden="1"/>
    <row r="521" ht="15" hidden="1"/>
    <row r="522" ht="15" hidden="1"/>
    <row r="523" ht="15" hidden="1"/>
    <row r="524" ht="15" hidden="1"/>
    <row r="525" ht="15" hidden="1"/>
    <row r="526" ht="15" hidden="1"/>
    <row r="527" ht="15" hidden="1"/>
    <row r="528" ht="15" hidden="1"/>
    <row r="529" ht="15" hidden="1"/>
    <row r="530" ht="15" hidden="1"/>
    <row r="531" ht="15" hidden="1"/>
    <row r="532" ht="15" hidden="1"/>
    <row r="533" ht="15" hidden="1"/>
    <row r="534" ht="15" hidden="1"/>
    <row r="535" ht="15" hidden="1"/>
    <row r="536" ht="15" hidden="1"/>
    <row r="537" ht="15" hidden="1"/>
    <row r="538" ht="15" hidden="1"/>
    <row r="539" ht="15" hidden="1"/>
    <row r="540" ht="15" hidden="1"/>
    <row r="541" ht="15" hidden="1"/>
    <row r="542" ht="15" hidden="1"/>
    <row r="543" ht="15" hidden="1"/>
    <row r="544" ht="15" hidden="1"/>
    <row r="545" ht="15" hidden="1"/>
    <row r="546" ht="15" hidden="1"/>
    <row r="547" ht="15" hidden="1"/>
    <row r="548" ht="15" hidden="1"/>
    <row r="549" ht="15" hidden="1"/>
    <row r="550" ht="15" hidden="1"/>
    <row r="551" ht="15" hidden="1"/>
    <row r="552" ht="15" hidden="1"/>
    <row r="553" ht="15" hidden="1"/>
    <row r="554" ht="15" hidden="1"/>
    <row r="555" ht="15" hidden="1"/>
    <row r="556" ht="15" hidden="1"/>
    <row r="557" ht="15" hidden="1"/>
    <row r="558" ht="15" hidden="1"/>
    <row r="559" ht="15" hidden="1"/>
    <row r="560" ht="15" hidden="1"/>
    <row r="561" ht="15" hidden="1"/>
    <row r="562" ht="15" hidden="1"/>
    <row r="563" ht="15" hidden="1"/>
    <row r="564" ht="15" hidden="1"/>
    <row r="565" ht="15" hidden="1"/>
    <row r="566" ht="15" hidden="1"/>
    <row r="567" ht="15" hidden="1"/>
    <row r="568" ht="15" hidden="1"/>
    <row r="569" ht="15" hidden="1"/>
    <row r="570" ht="15" hidden="1"/>
    <row r="571" ht="15" hidden="1"/>
    <row r="572" ht="15" hidden="1"/>
    <row r="573" ht="15" hidden="1"/>
    <row r="574" ht="15" hidden="1"/>
    <row r="575" ht="15" hidden="1"/>
    <row r="576" ht="15" hidden="1"/>
    <row r="577" ht="15" hidden="1"/>
    <row r="578" ht="15" hidden="1"/>
    <row r="579" ht="15" hidden="1"/>
    <row r="580" ht="15" hidden="1"/>
    <row r="581" ht="15" hidden="1"/>
    <row r="582" ht="15" hidden="1"/>
    <row r="583" ht="15" hidden="1"/>
    <row r="584" ht="15" hidden="1"/>
    <row r="585" ht="15" hidden="1"/>
    <row r="586" ht="15" hidden="1"/>
    <row r="587" ht="15" hidden="1"/>
    <row r="588" ht="15" hidden="1"/>
    <row r="589" ht="15" hidden="1"/>
    <row r="590" ht="15" hidden="1"/>
    <row r="591" ht="15" hidden="1"/>
    <row r="592" ht="15" hidden="1"/>
    <row r="593" ht="15" hidden="1"/>
    <row r="594" ht="15" hidden="1"/>
    <row r="595" ht="15" hidden="1"/>
    <row r="596" ht="15" hidden="1"/>
    <row r="597" ht="15" hidden="1"/>
    <row r="598" ht="15" hidden="1"/>
    <row r="599" ht="15" hidden="1"/>
    <row r="600" ht="15" hidden="1"/>
    <row r="601" ht="15" hidden="1"/>
    <row r="602" ht="15" hidden="1"/>
    <row r="603" ht="15" hidden="1"/>
    <row r="604" ht="15" hidden="1"/>
    <row r="605" ht="15" hidden="1"/>
    <row r="606" ht="15" hidden="1"/>
    <row r="607" ht="15" hidden="1"/>
    <row r="608" ht="15" hidden="1"/>
    <row r="609" ht="15" hidden="1"/>
    <row r="610" ht="15" hidden="1"/>
    <row r="611" ht="15" hidden="1"/>
    <row r="612" ht="15" hidden="1"/>
    <row r="613" ht="15" hidden="1"/>
    <row r="614" ht="15" hidden="1"/>
    <row r="615" ht="15" hidden="1"/>
    <row r="616" ht="15" hidden="1"/>
    <row r="617" ht="15" hidden="1"/>
    <row r="618" ht="15" hidden="1"/>
    <row r="619" ht="15" hidden="1"/>
    <row r="620" ht="15" hidden="1"/>
    <row r="621" ht="15" hidden="1"/>
    <row r="622" ht="15" hidden="1"/>
    <row r="623" ht="15" hidden="1"/>
    <row r="624" ht="15" hidden="1"/>
    <row r="625" ht="15" hidden="1"/>
    <row r="626" ht="15" hidden="1"/>
    <row r="627" ht="15" hidden="1"/>
    <row r="628" ht="15" hidden="1"/>
    <row r="629" ht="15" hidden="1"/>
    <row r="630" ht="15" hidden="1"/>
    <row r="631" ht="15" hidden="1"/>
    <row r="632" ht="15" hidden="1"/>
    <row r="633" ht="15" hidden="1"/>
    <row r="634" ht="15" hidden="1"/>
    <row r="635" ht="15" hidden="1"/>
    <row r="636" ht="15" hidden="1"/>
    <row r="637" ht="15" hidden="1"/>
    <row r="638" ht="15" hidden="1"/>
    <row r="639" ht="15" hidden="1"/>
    <row r="640" ht="15" hidden="1"/>
    <row r="641" ht="15" hidden="1"/>
    <row r="642" ht="15" hidden="1"/>
    <row r="643" ht="15" hidden="1"/>
    <row r="644" ht="15" hidden="1"/>
    <row r="645" ht="15" hidden="1"/>
    <row r="646" ht="15" hidden="1"/>
    <row r="647" ht="15" hidden="1"/>
    <row r="648" ht="15" hidden="1"/>
    <row r="649" ht="15" hidden="1"/>
    <row r="650" ht="15" hidden="1"/>
    <row r="651" ht="15" hidden="1"/>
    <row r="652" ht="15" hidden="1"/>
    <row r="653" ht="15" hidden="1"/>
    <row r="654" ht="15" hidden="1"/>
    <row r="655" ht="15" hidden="1"/>
    <row r="656" ht="15" hidden="1"/>
    <row r="657" ht="15" hidden="1"/>
    <row r="658" ht="15" hidden="1"/>
    <row r="659" ht="15" hidden="1"/>
    <row r="660" ht="15" hidden="1"/>
    <row r="661" ht="15" hidden="1"/>
    <row r="662" ht="15" hidden="1"/>
    <row r="663" ht="15" hidden="1"/>
    <row r="664" ht="15" hidden="1"/>
    <row r="665" ht="15" hidden="1"/>
    <row r="666" ht="15" hidden="1"/>
    <row r="667" ht="15" hidden="1"/>
    <row r="668" ht="15" hidden="1"/>
    <row r="669" ht="15" hidden="1"/>
    <row r="670" ht="15" hidden="1"/>
    <row r="671" ht="15" hidden="1"/>
    <row r="672" ht="15" hidden="1"/>
    <row r="673" ht="15" hidden="1"/>
    <row r="674" ht="15" hidden="1"/>
    <row r="675" ht="15" hidden="1"/>
    <row r="676" ht="15" hidden="1"/>
    <row r="677" ht="15" hidden="1"/>
    <row r="678" ht="15" hidden="1"/>
    <row r="679" ht="15" hidden="1"/>
    <row r="680" ht="15" hidden="1"/>
    <row r="681" ht="15" hidden="1"/>
    <row r="682" ht="15" hidden="1"/>
    <row r="683" ht="15" hidden="1"/>
    <row r="684" ht="15" hidden="1"/>
    <row r="685" ht="15" hidden="1"/>
    <row r="686" ht="15" hidden="1"/>
    <row r="687" ht="15" hidden="1"/>
    <row r="688" ht="15" hidden="1"/>
    <row r="689" ht="15" hidden="1"/>
    <row r="690" ht="15" hidden="1"/>
    <row r="691" ht="15" hidden="1"/>
    <row r="692" ht="15" hidden="1"/>
    <row r="693" ht="15" hidden="1"/>
    <row r="694" ht="15" hidden="1"/>
    <row r="695" ht="15" hidden="1"/>
    <row r="696" ht="15" hidden="1"/>
    <row r="697" ht="15" hidden="1"/>
    <row r="698" ht="15" hidden="1"/>
    <row r="699" ht="15" hidden="1"/>
    <row r="700" ht="15" hidden="1"/>
    <row r="701" ht="15" hidden="1"/>
    <row r="702" ht="15" hidden="1"/>
    <row r="703" ht="15" hidden="1"/>
    <row r="704" ht="15" hidden="1"/>
    <row r="705" ht="15" hidden="1"/>
    <row r="706" ht="15" hidden="1"/>
    <row r="707" ht="15" hidden="1"/>
    <row r="708" ht="15" hidden="1"/>
    <row r="709" ht="15" hidden="1"/>
    <row r="710" ht="15" hidden="1"/>
    <row r="711" ht="15" hidden="1"/>
    <row r="712" ht="15" hidden="1"/>
    <row r="713" ht="15" hidden="1"/>
    <row r="714" ht="15" hidden="1"/>
    <row r="715" ht="15" hidden="1"/>
    <row r="716" ht="15" hidden="1"/>
    <row r="717" ht="15" hidden="1"/>
    <row r="718" ht="15" hidden="1"/>
    <row r="719" ht="15" hidden="1"/>
    <row r="720" ht="15" hidden="1"/>
    <row r="721" ht="15" hidden="1"/>
    <row r="722" ht="15" hidden="1"/>
    <row r="723" ht="15" hidden="1"/>
    <row r="724" ht="15" hidden="1"/>
    <row r="725" ht="15" hidden="1"/>
    <row r="726" ht="15" hidden="1"/>
    <row r="727" ht="15" hidden="1"/>
    <row r="728" ht="15" hidden="1"/>
    <row r="729" ht="15" hidden="1"/>
    <row r="730" ht="15" hidden="1"/>
    <row r="731" ht="15" hidden="1"/>
    <row r="732" ht="15" hidden="1"/>
    <row r="733" ht="15" hidden="1"/>
    <row r="734" ht="15" hidden="1"/>
    <row r="735" ht="15" hidden="1"/>
    <row r="736" ht="15" hidden="1"/>
    <row r="737" ht="15" hidden="1"/>
    <row r="738" ht="15" hidden="1"/>
    <row r="739" ht="15" hidden="1"/>
    <row r="740" ht="15" hidden="1"/>
    <row r="741" ht="15" hidden="1"/>
    <row r="742" ht="15" hidden="1"/>
    <row r="743" ht="15" hidden="1"/>
    <row r="744" ht="15" hidden="1"/>
    <row r="745" ht="15" hidden="1"/>
    <row r="746" ht="15" hidden="1"/>
    <row r="747" ht="15" hidden="1"/>
    <row r="748" ht="15" hidden="1"/>
    <row r="749" ht="15" hidden="1"/>
    <row r="750" ht="15" hidden="1"/>
    <row r="751" ht="15" hidden="1"/>
    <row r="752" ht="15" hidden="1"/>
    <row r="753" ht="15" hidden="1"/>
    <row r="754" ht="15" hidden="1"/>
    <row r="755" ht="15" hidden="1"/>
    <row r="756" ht="15" hidden="1"/>
    <row r="757" ht="15" hidden="1"/>
    <row r="758" ht="15" hidden="1"/>
    <row r="759" ht="15" hidden="1"/>
    <row r="760" ht="15" hidden="1"/>
    <row r="761" ht="15" hidden="1"/>
    <row r="762" ht="15" hidden="1"/>
    <row r="763" ht="15" hidden="1"/>
    <row r="764" ht="15" hidden="1"/>
    <row r="765" ht="15" hidden="1"/>
    <row r="766" ht="15" hidden="1"/>
    <row r="767" ht="15" hidden="1"/>
    <row r="768" ht="15" hidden="1"/>
    <row r="769" ht="15" hidden="1"/>
    <row r="770" ht="15" hidden="1"/>
    <row r="771" ht="15" hidden="1"/>
    <row r="772" ht="15" hidden="1"/>
    <row r="773" ht="15" hidden="1"/>
    <row r="774" ht="15" hidden="1"/>
    <row r="775" ht="15" hidden="1"/>
    <row r="776" ht="15" hidden="1"/>
    <row r="777" ht="15" hidden="1"/>
    <row r="778" ht="15" hidden="1"/>
    <row r="779" ht="15" hidden="1"/>
    <row r="780" ht="15" hidden="1"/>
    <row r="781" ht="15" hidden="1"/>
    <row r="782" ht="15" hidden="1"/>
    <row r="783" ht="15" hidden="1"/>
    <row r="784" ht="15" hidden="1"/>
    <row r="785" ht="15" hidden="1"/>
    <row r="786" ht="15" hidden="1"/>
    <row r="787" ht="15" hidden="1"/>
    <row r="788" ht="15" hidden="1"/>
    <row r="789" ht="15" hidden="1"/>
    <row r="790" ht="15" hidden="1"/>
    <row r="791" ht="15" hidden="1"/>
    <row r="792" ht="15" hidden="1"/>
    <row r="793" ht="15" hidden="1"/>
    <row r="794" ht="15" hidden="1"/>
    <row r="795" ht="15" hidden="1"/>
    <row r="796" ht="15" hidden="1"/>
    <row r="797" ht="15" hidden="1"/>
    <row r="798" ht="15" hidden="1"/>
    <row r="799" ht="15" hidden="1"/>
    <row r="800" ht="15" hidden="1"/>
    <row r="801" ht="15" hidden="1"/>
    <row r="802" ht="15" hidden="1"/>
    <row r="803" ht="15" hidden="1"/>
    <row r="804" ht="15" hidden="1"/>
    <row r="805" ht="15" hidden="1"/>
    <row r="806" ht="15" hidden="1"/>
    <row r="807" ht="15" hidden="1"/>
    <row r="808" ht="15" hidden="1"/>
    <row r="809" ht="15" hidden="1"/>
    <row r="810" ht="15" hidden="1"/>
    <row r="811" ht="15" hidden="1"/>
    <row r="812" ht="15" hidden="1"/>
    <row r="813" ht="15" hidden="1"/>
    <row r="814" ht="15" hidden="1"/>
    <row r="815" ht="15" hidden="1"/>
    <row r="816" ht="15" hidden="1"/>
    <row r="817" ht="15" hidden="1"/>
    <row r="818" ht="15" hidden="1"/>
    <row r="819" ht="15" hidden="1"/>
    <row r="820" ht="15" hidden="1"/>
    <row r="821" ht="15" hidden="1"/>
    <row r="822" ht="15" hidden="1"/>
    <row r="823" ht="15" hidden="1"/>
    <row r="824" ht="15" hidden="1"/>
    <row r="825" ht="15" hidden="1"/>
    <row r="826" ht="15" hidden="1"/>
    <row r="827" ht="15" hidden="1"/>
    <row r="828" ht="15" hidden="1"/>
    <row r="829" ht="15" hidden="1"/>
    <row r="830" ht="15" hidden="1"/>
    <row r="831" ht="15" hidden="1"/>
    <row r="832" ht="15" hidden="1"/>
    <row r="833" ht="15" hidden="1"/>
    <row r="834" ht="15" hidden="1"/>
    <row r="835" ht="15" hidden="1"/>
    <row r="836" ht="15" hidden="1"/>
    <row r="837" ht="15" hidden="1"/>
    <row r="838" ht="15" hidden="1"/>
    <row r="839" ht="15" hidden="1"/>
    <row r="840" ht="15" hidden="1"/>
    <row r="841" ht="15" hidden="1"/>
    <row r="842" ht="15" hidden="1"/>
    <row r="843" ht="15" hidden="1"/>
    <row r="844" ht="15" hidden="1"/>
    <row r="845" ht="15" hidden="1"/>
    <row r="846" ht="15" hidden="1"/>
    <row r="847" ht="15" hidden="1"/>
    <row r="848" ht="15" hidden="1"/>
    <row r="849" ht="15" hidden="1"/>
    <row r="850" ht="15" hidden="1"/>
    <row r="851" ht="15" hidden="1"/>
    <row r="852" ht="15" hidden="1"/>
    <row r="853" ht="15" hidden="1"/>
    <row r="854" ht="15" hidden="1"/>
    <row r="855" ht="15" hidden="1"/>
    <row r="856" ht="15" hidden="1"/>
    <row r="857" ht="15" hidden="1"/>
    <row r="858" ht="15" hidden="1"/>
    <row r="859" ht="15" hidden="1"/>
    <row r="860" ht="15" hidden="1"/>
    <row r="861" ht="15" hidden="1"/>
    <row r="862" ht="15" hidden="1"/>
    <row r="863" ht="15" hidden="1"/>
    <row r="864" ht="15" hidden="1"/>
    <row r="865" ht="15" hidden="1"/>
    <row r="866" ht="15" hidden="1"/>
    <row r="867" ht="15" hidden="1"/>
    <row r="868" ht="15" hidden="1"/>
    <row r="869" ht="15" hidden="1"/>
    <row r="870" ht="15" hidden="1"/>
    <row r="871" ht="15" hidden="1"/>
    <row r="872" ht="15" hidden="1"/>
    <row r="873" ht="15" hidden="1"/>
    <row r="874" ht="15" hidden="1"/>
    <row r="875" ht="15" hidden="1"/>
    <row r="876" ht="15" hidden="1"/>
    <row r="877" ht="15" hidden="1"/>
    <row r="878" ht="15" hidden="1"/>
    <row r="879" ht="15" hidden="1"/>
    <row r="880" ht="15" hidden="1"/>
    <row r="881" ht="15" hidden="1"/>
    <row r="882" ht="15" hidden="1"/>
    <row r="883" ht="15" hidden="1"/>
    <row r="884" ht="15" hidden="1"/>
    <row r="885" ht="15" hidden="1"/>
    <row r="886" ht="15" hidden="1"/>
    <row r="887" ht="15" hidden="1"/>
    <row r="888" ht="15" hidden="1"/>
    <row r="889" ht="15" hidden="1"/>
    <row r="890" ht="15" hidden="1"/>
    <row r="891" ht="15" hidden="1"/>
    <row r="892" ht="15" hidden="1"/>
    <row r="893" ht="15" hidden="1"/>
    <row r="894" ht="15" hidden="1"/>
    <row r="895" ht="15" hidden="1"/>
    <row r="896" ht="15" hidden="1"/>
    <row r="897" ht="15" hidden="1"/>
    <row r="898" ht="15" hidden="1"/>
    <row r="899" ht="15" hidden="1"/>
    <row r="900" ht="15" hidden="1"/>
    <row r="901" ht="15" hidden="1"/>
    <row r="902" ht="15" hidden="1"/>
    <row r="903" ht="15" hidden="1"/>
    <row r="904" ht="15" hidden="1"/>
    <row r="905" ht="15" hidden="1"/>
    <row r="906" ht="15" hidden="1"/>
    <row r="907" ht="15" hidden="1"/>
    <row r="908" ht="15" hidden="1"/>
    <row r="909" ht="15" hidden="1"/>
    <row r="910" ht="15" hidden="1"/>
    <row r="911" ht="15" hidden="1"/>
    <row r="912" ht="15" hidden="1"/>
    <row r="913" ht="15" hidden="1"/>
    <row r="914" ht="15" hidden="1"/>
    <row r="915" ht="15" hidden="1"/>
    <row r="916" ht="15" hidden="1"/>
    <row r="917" ht="15" hidden="1"/>
    <row r="918" ht="15" hidden="1"/>
    <row r="919" ht="15" hidden="1"/>
    <row r="920" ht="15" hidden="1"/>
    <row r="921" ht="15" hidden="1"/>
    <row r="922" ht="15" hidden="1"/>
    <row r="923" ht="15" hidden="1"/>
    <row r="924" ht="15" hidden="1"/>
    <row r="925" ht="15" hidden="1"/>
    <row r="926" ht="15" hidden="1"/>
    <row r="927" ht="15" hidden="1"/>
    <row r="928" ht="15" hidden="1"/>
    <row r="929" ht="15" hidden="1"/>
    <row r="930" ht="15" hidden="1"/>
    <row r="931" ht="15" hidden="1"/>
    <row r="932" ht="15" hidden="1"/>
    <row r="933" ht="15" hidden="1"/>
    <row r="934" ht="15" hidden="1"/>
    <row r="935" ht="15" hidden="1"/>
    <row r="936" ht="15" hidden="1"/>
    <row r="937" ht="15" hidden="1"/>
    <row r="938" ht="15" hidden="1"/>
    <row r="939" ht="15" hidden="1"/>
    <row r="940" ht="15" hidden="1"/>
    <row r="941" ht="15" hidden="1"/>
    <row r="942" ht="15" hidden="1"/>
    <row r="943" ht="15" hidden="1"/>
    <row r="944" ht="15" hidden="1"/>
    <row r="945" ht="15" hidden="1"/>
    <row r="946" ht="15" hidden="1"/>
    <row r="947" ht="15" hidden="1"/>
    <row r="948" ht="15" hidden="1"/>
    <row r="949" ht="15" hidden="1"/>
    <row r="950" ht="15" hidden="1"/>
    <row r="951" ht="15" hidden="1"/>
    <row r="952" ht="15" hidden="1"/>
    <row r="953" ht="15" hidden="1"/>
    <row r="954" ht="15" hidden="1"/>
    <row r="955" ht="15" hidden="1"/>
    <row r="956" ht="15" hidden="1"/>
    <row r="957" ht="15" hidden="1"/>
    <row r="958" ht="15" hidden="1"/>
    <row r="959" ht="15" hidden="1"/>
    <row r="960" ht="15" hidden="1"/>
    <row r="961" ht="15" hidden="1"/>
    <row r="962" ht="15" hidden="1"/>
    <row r="963" ht="15" hidden="1"/>
    <row r="964" ht="15" hidden="1"/>
    <row r="965" ht="15" hidden="1"/>
    <row r="966" ht="15" hidden="1"/>
    <row r="967" ht="15" hidden="1"/>
    <row r="968" ht="15" hidden="1"/>
    <row r="969" ht="15" hidden="1"/>
    <row r="970" ht="15" hidden="1"/>
    <row r="971" ht="15" hidden="1"/>
    <row r="972" ht="15" hidden="1"/>
    <row r="973" ht="15" hidden="1"/>
    <row r="974" ht="15" hidden="1"/>
    <row r="975" ht="15" hidden="1"/>
    <row r="976" ht="15" hidden="1"/>
    <row r="977" ht="15" hidden="1"/>
    <row r="978" ht="15" hidden="1"/>
    <row r="979" ht="15" hidden="1"/>
    <row r="980" ht="15" hidden="1"/>
    <row r="981" ht="15" hidden="1"/>
    <row r="982" ht="15" hidden="1"/>
    <row r="983" ht="15" hidden="1"/>
    <row r="984" ht="15" hidden="1"/>
    <row r="985" ht="15" hidden="1"/>
    <row r="986" ht="15" hidden="1"/>
    <row r="987" ht="15" hidden="1"/>
    <row r="988" ht="15" hidden="1"/>
    <row r="989" ht="15" hidden="1"/>
    <row r="990" ht="15" hidden="1"/>
    <row r="991" ht="15" hidden="1"/>
    <row r="992" ht="15" hidden="1"/>
    <row r="993" ht="15" hidden="1"/>
    <row r="994" ht="15" hidden="1"/>
    <row r="995" ht="15" hidden="1"/>
    <row r="996" ht="15" hidden="1"/>
    <row r="997" ht="15" hidden="1"/>
    <row r="998" ht="15" hidden="1"/>
    <row r="999" ht="15" hidden="1"/>
    <row r="1000" ht="15" hidden="1"/>
    <row r="1001" ht="15" hidden="1"/>
    <row r="1002" ht="15" hidden="1"/>
    <row r="1003" ht="15" hidden="1"/>
    <row r="1004" ht="15" hidden="1"/>
    <row r="1005" ht="15" hidden="1"/>
    <row r="1006" ht="15" hidden="1"/>
    <row r="1007" ht="15" hidden="1"/>
    <row r="1008" ht="15" hidden="1"/>
    <row r="1009" ht="15" hidden="1"/>
    <row r="1010" ht="15" hidden="1"/>
    <row r="1011" ht="15" hidden="1"/>
    <row r="1012" ht="15" hidden="1"/>
    <row r="1013" ht="15" hidden="1"/>
    <row r="1014" ht="15" hidden="1"/>
    <row r="1015" ht="15" hidden="1"/>
    <row r="1016" ht="15" hidden="1"/>
    <row r="1017" ht="15" hidden="1"/>
    <row r="1018" ht="15" hidden="1"/>
    <row r="1019" ht="15" hidden="1"/>
    <row r="1020" ht="15" hidden="1"/>
    <row r="1021" ht="15" hidden="1"/>
    <row r="1022" ht="15" hidden="1"/>
    <row r="1023" ht="15" hidden="1"/>
    <row r="1024" ht="15" hidden="1"/>
    <row r="1025" ht="15" hidden="1"/>
    <row r="1026" ht="15" hidden="1"/>
    <row r="1027" ht="15" hidden="1"/>
    <row r="1028" ht="15" hidden="1"/>
    <row r="1029" ht="15" hidden="1"/>
    <row r="1030" ht="15" hidden="1"/>
    <row r="1031" ht="15" hidden="1"/>
    <row r="1032" ht="15" hidden="1"/>
    <row r="1033" ht="15" hidden="1"/>
    <row r="1034" ht="15" hidden="1"/>
    <row r="1035" ht="15" hidden="1"/>
    <row r="1036" ht="15" hidden="1"/>
    <row r="1037" ht="15" hidden="1"/>
    <row r="1038" ht="15" hidden="1"/>
    <row r="1039" ht="15" hidden="1"/>
    <row r="1040" ht="15" hidden="1"/>
    <row r="1041" ht="15" hidden="1"/>
    <row r="1042" ht="15" hidden="1"/>
    <row r="1043" ht="15" hidden="1"/>
    <row r="1044" ht="15" hidden="1"/>
    <row r="1045" ht="15" hidden="1"/>
    <row r="1046" ht="15" hidden="1"/>
    <row r="1047" ht="15" hidden="1"/>
    <row r="1048" ht="15" hidden="1"/>
    <row r="1049" ht="15" hidden="1"/>
    <row r="1050" ht="15" hidden="1"/>
    <row r="1051" ht="15" hidden="1"/>
    <row r="1052" ht="15" hidden="1"/>
    <row r="1053" ht="15" hidden="1"/>
    <row r="1054" ht="15" hidden="1"/>
    <row r="1055" ht="15" hidden="1"/>
    <row r="1056" ht="15" hidden="1"/>
    <row r="1057" ht="15" hidden="1"/>
    <row r="1058" ht="15" hidden="1"/>
    <row r="1059" ht="15" hidden="1"/>
    <row r="1060" ht="15" hidden="1"/>
    <row r="1061" ht="15" hidden="1"/>
    <row r="1062" ht="15" hidden="1"/>
    <row r="1063" ht="15" hidden="1"/>
    <row r="1064" ht="15" hidden="1"/>
    <row r="1065" ht="15" hidden="1"/>
    <row r="1066" ht="15" hidden="1"/>
    <row r="1067" ht="15" hidden="1"/>
    <row r="1068" ht="15" hidden="1"/>
    <row r="1069" ht="15" hidden="1"/>
    <row r="1070" ht="15" hidden="1"/>
    <row r="1071" ht="15" hidden="1"/>
    <row r="1072" ht="15" hidden="1"/>
    <row r="1073" ht="15" hidden="1"/>
    <row r="1074" ht="15" hidden="1"/>
    <row r="1075" ht="15" hidden="1"/>
    <row r="1076" ht="15" hidden="1"/>
    <row r="1077" ht="15" hidden="1"/>
    <row r="1078" ht="15" hidden="1"/>
    <row r="1079" ht="15" hidden="1"/>
    <row r="1080" ht="15" hidden="1"/>
    <row r="1081" ht="15" hidden="1"/>
    <row r="1082" ht="15" hidden="1"/>
    <row r="1083" ht="15" hidden="1"/>
    <row r="1084" ht="15" hidden="1"/>
    <row r="1085" ht="15" hidden="1"/>
    <row r="1086" ht="15" hidden="1"/>
    <row r="1087" ht="15" hidden="1"/>
    <row r="1088" ht="15" hidden="1"/>
    <row r="1089" ht="15" hidden="1"/>
    <row r="1090" ht="15" hidden="1"/>
    <row r="1091" ht="15" hidden="1"/>
    <row r="1092" ht="15" hidden="1"/>
    <row r="1093" ht="15" hidden="1"/>
    <row r="1094" ht="15" hidden="1"/>
    <row r="1095" ht="15" hidden="1"/>
    <row r="1096" ht="15" hidden="1"/>
    <row r="1097" ht="15" hidden="1"/>
    <row r="1098" ht="15" hidden="1"/>
    <row r="1099" ht="15" hidden="1"/>
    <row r="1100" ht="15" hidden="1"/>
    <row r="1101" ht="15" hidden="1"/>
    <row r="1102" ht="15" hidden="1"/>
    <row r="1103" ht="15" hidden="1"/>
    <row r="1104" ht="15" hidden="1"/>
    <row r="1105" ht="15" hidden="1"/>
    <row r="1106" ht="15" hidden="1"/>
    <row r="1107" ht="15" hidden="1"/>
    <row r="1108" ht="15" hidden="1"/>
    <row r="1109" ht="15" hidden="1"/>
    <row r="1110" ht="15" hidden="1"/>
    <row r="1111" ht="15" hidden="1"/>
    <row r="1112" ht="15" hidden="1"/>
    <row r="1113" ht="15" hidden="1"/>
    <row r="1114" ht="15" hidden="1"/>
    <row r="1115" ht="15" hidden="1"/>
    <row r="1116" ht="15" hidden="1"/>
    <row r="1117" ht="15" hidden="1"/>
    <row r="1118" ht="15" hidden="1"/>
    <row r="1119" ht="15" hidden="1"/>
    <row r="1120" ht="15" hidden="1"/>
    <row r="1121" ht="15" hidden="1"/>
    <row r="1122" ht="15" hidden="1"/>
    <row r="1123" ht="15" hidden="1"/>
    <row r="1124" ht="15" hidden="1"/>
    <row r="1125" ht="15" hidden="1"/>
    <row r="1126" ht="15" hidden="1"/>
    <row r="1127" ht="15" hidden="1"/>
    <row r="1128" ht="15" hidden="1"/>
    <row r="1129" ht="15" hidden="1"/>
    <row r="1130" ht="15" hidden="1"/>
    <row r="1131" ht="15" hidden="1"/>
    <row r="1132" ht="15" hidden="1"/>
    <row r="1133" ht="15" hidden="1"/>
    <row r="1134" ht="15" hidden="1"/>
    <row r="1135" ht="15" hidden="1"/>
    <row r="1136" ht="15" hidden="1"/>
    <row r="1137" ht="15" hidden="1"/>
    <row r="1138" ht="15" hidden="1"/>
    <row r="1139" ht="15" hidden="1"/>
    <row r="1140" ht="15" hidden="1"/>
    <row r="1141" ht="15" hidden="1"/>
    <row r="1142" ht="15" hidden="1"/>
    <row r="1143" ht="15" hidden="1"/>
    <row r="1144" ht="15" hidden="1"/>
    <row r="1145" ht="15" hidden="1"/>
    <row r="1146" ht="15" hidden="1"/>
    <row r="1147" ht="15" hidden="1"/>
    <row r="1148" ht="15" hidden="1"/>
    <row r="1149" ht="15" hidden="1"/>
    <row r="1150" ht="15" hidden="1"/>
    <row r="1151" ht="15" hidden="1"/>
    <row r="1152" ht="15" hidden="1"/>
    <row r="1153" ht="15" hidden="1"/>
    <row r="1154" ht="15" hidden="1"/>
    <row r="1155" ht="15" hidden="1"/>
    <row r="1156" ht="15" hidden="1"/>
    <row r="1157" ht="15" hidden="1"/>
    <row r="1158" ht="15" hidden="1"/>
    <row r="1159" ht="15" hidden="1"/>
    <row r="1160" ht="15" hidden="1"/>
    <row r="1161" ht="15" hidden="1"/>
    <row r="1162" ht="15" hidden="1"/>
    <row r="1163" ht="15" hidden="1"/>
    <row r="1164" ht="15" hidden="1"/>
    <row r="1165" ht="15" hidden="1"/>
    <row r="1166" ht="15" hidden="1"/>
    <row r="1167" ht="15" hidden="1"/>
    <row r="1168" ht="15" hidden="1"/>
    <row r="1169" ht="15" hidden="1"/>
    <row r="1170" ht="15" hidden="1"/>
    <row r="1171" ht="15" hidden="1"/>
    <row r="1172" ht="15" hidden="1"/>
    <row r="1173" ht="15" hidden="1"/>
    <row r="1174" ht="15" hidden="1"/>
    <row r="1175" ht="15" hidden="1"/>
    <row r="1176" ht="15" hidden="1"/>
    <row r="1177" ht="15" hidden="1"/>
    <row r="1178" ht="15" hidden="1"/>
    <row r="1179" ht="15" hidden="1"/>
    <row r="1180" ht="15" hidden="1"/>
    <row r="1181" ht="15" hidden="1"/>
    <row r="1182" ht="15" hidden="1"/>
    <row r="1183" ht="15" hidden="1"/>
    <row r="1184" ht="15" hidden="1"/>
    <row r="1185" ht="15" hidden="1"/>
    <row r="1186" ht="15" hidden="1"/>
    <row r="1187" ht="15" hidden="1"/>
    <row r="1188" ht="15" hidden="1"/>
    <row r="1189" ht="15" hidden="1"/>
    <row r="1190" ht="15" hidden="1"/>
    <row r="1191" ht="15" hidden="1"/>
    <row r="1192" ht="15" hidden="1"/>
    <row r="1193" ht="15" hidden="1"/>
    <row r="1194" ht="15" hidden="1"/>
    <row r="1195" ht="15" hidden="1"/>
    <row r="1196" ht="15" hidden="1"/>
    <row r="1197" ht="15" hidden="1"/>
    <row r="1198" ht="15" hidden="1"/>
    <row r="1199" ht="15" hidden="1"/>
    <row r="1200" ht="15" hidden="1"/>
    <row r="1201" ht="15" hidden="1"/>
    <row r="1202" ht="15" hidden="1"/>
    <row r="1203" ht="15" hidden="1"/>
    <row r="1204" ht="15" hidden="1"/>
    <row r="1205" ht="15" hidden="1"/>
    <row r="1206" ht="15" hidden="1"/>
    <row r="1207" ht="15" hidden="1"/>
    <row r="1208" ht="15" hidden="1"/>
    <row r="1209" ht="15" hidden="1"/>
    <row r="1210" ht="15" hidden="1"/>
    <row r="1211" ht="15" hidden="1"/>
    <row r="1212" ht="15" hidden="1"/>
    <row r="1213" ht="15" hidden="1"/>
    <row r="1214" ht="15" hidden="1"/>
    <row r="1215" ht="15" hidden="1"/>
    <row r="1216" ht="15" hidden="1"/>
    <row r="1217" ht="15" hidden="1"/>
    <row r="1218" ht="15" hidden="1"/>
    <row r="1219" ht="15" hidden="1"/>
    <row r="1220" ht="15" hidden="1"/>
    <row r="1221" ht="15" hidden="1"/>
    <row r="1222" ht="15" hidden="1"/>
    <row r="1223" ht="15" hidden="1"/>
    <row r="1224" ht="15" hidden="1"/>
    <row r="1225" ht="15" hidden="1"/>
    <row r="1226" ht="15" hidden="1"/>
    <row r="1227" ht="15" hidden="1"/>
    <row r="1228" ht="15" hidden="1"/>
    <row r="1229" ht="15" hidden="1"/>
    <row r="1230" ht="15" hidden="1"/>
    <row r="1231" ht="15" hidden="1"/>
    <row r="1232" ht="15" hidden="1"/>
    <row r="1233" ht="15" hidden="1"/>
    <row r="1234" ht="15" hidden="1"/>
    <row r="1235" ht="15" hidden="1"/>
    <row r="1236" ht="15" hidden="1"/>
    <row r="1237" ht="15" hidden="1"/>
    <row r="1238" ht="15" hidden="1"/>
    <row r="1239" ht="15" hidden="1"/>
    <row r="1240" ht="15" hidden="1"/>
    <row r="1241" ht="15" hidden="1"/>
    <row r="1242" ht="15" hidden="1"/>
    <row r="1243" ht="15" hidden="1"/>
    <row r="1244" ht="15" hidden="1"/>
    <row r="1245" ht="15" hidden="1"/>
    <row r="1246" ht="15" hidden="1"/>
    <row r="1247" ht="15" hidden="1"/>
    <row r="1248" ht="15" hidden="1"/>
    <row r="1249" ht="15" hidden="1"/>
    <row r="1250" ht="15" hidden="1"/>
    <row r="1251" ht="15" hidden="1"/>
    <row r="1252" ht="15" hidden="1"/>
    <row r="1253" ht="15" hidden="1"/>
    <row r="1254" ht="15" hidden="1"/>
    <row r="1255" ht="15" hidden="1"/>
    <row r="1256" ht="15" hidden="1"/>
    <row r="1257" ht="15" hidden="1"/>
    <row r="1258" ht="15" hidden="1"/>
    <row r="1259" ht="15" hidden="1"/>
    <row r="1260" ht="15" hidden="1"/>
    <row r="1261" ht="15" hidden="1"/>
    <row r="1262" ht="15" hidden="1"/>
    <row r="1263" ht="15" hidden="1"/>
    <row r="1264" ht="15" hidden="1"/>
    <row r="1265" ht="15" hidden="1"/>
    <row r="1266" ht="15" hidden="1"/>
    <row r="1267" ht="15" hidden="1"/>
    <row r="1268" ht="15" hidden="1"/>
    <row r="1269" ht="15" hidden="1"/>
    <row r="1270" ht="15" hidden="1"/>
    <row r="1271" ht="15" hidden="1"/>
    <row r="1272" ht="15" hidden="1"/>
    <row r="1273" ht="15" hidden="1"/>
    <row r="1274" ht="15" hidden="1"/>
    <row r="1275" ht="15" hidden="1"/>
    <row r="1276" ht="15" hidden="1"/>
    <row r="1277" ht="15" hidden="1"/>
    <row r="1278" ht="15" hidden="1"/>
    <row r="1279" ht="15" hidden="1"/>
    <row r="1280" ht="15" hidden="1"/>
    <row r="1281" ht="15" hidden="1"/>
    <row r="1282" ht="15" hidden="1"/>
    <row r="1283" ht="15" hidden="1"/>
    <row r="1284" ht="15" hidden="1"/>
    <row r="1285" ht="15" hidden="1"/>
    <row r="1286" ht="15" hidden="1"/>
    <row r="1287" ht="15" hidden="1"/>
    <row r="1288" ht="15" hidden="1"/>
    <row r="1289" ht="15" hidden="1"/>
    <row r="1290" ht="15" hidden="1"/>
    <row r="1291" ht="15" hidden="1"/>
    <row r="1292" ht="15" hidden="1"/>
    <row r="1293" ht="15" hidden="1"/>
    <row r="1294" ht="15" hidden="1"/>
    <row r="1295" ht="15" hidden="1"/>
    <row r="1296" ht="15" hidden="1"/>
    <row r="1297" ht="15" hidden="1"/>
    <row r="1298" ht="15" hidden="1"/>
    <row r="1299" ht="15" hidden="1"/>
    <row r="1300" ht="15" hidden="1"/>
    <row r="1301" ht="15" hidden="1"/>
    <row r="1302" ht="15" hidden="1"/>
    <row r="1303" ht="15" hidden="1"/>
    <row r="1304" ht="15" hidden="1"/>
    <row r="1305" ht="15" hidden="1"/>
    <row r="1306" ht="15" hidden="1"/>
    <row r="1307" ht="15" hidden="1"/>
    <row r="1308" ht="15" hidden="1"/>
    <row r="1309" ht="15" hidden="1"/>
    <row r="1310" ht="15" hidden="1"/>
    <row r="1311" ht="15" hidden="1"/>
    <row r="1312" ht="15" hidden="1"/>
    <row r="1313" ht="15" hidden="1"/>
    <row r="1314" ht="15" hidden="1"/>
    <row r="1315" ht="15" hidden="1"/>
    <row r="1316" ht="15" hidden="1"/>
    <row r="1317" ht="15" hidden="1"/>
    <row r="1318" ht="15" hidden="1"/>
    <row r="1319" ht="15" hidden="1"/>
    <row r="1320" ht="15" hidden="1"/>
    <row r="1321" ht="15" hidden="1"/>
    <row r="1322" ht="15" hidden="1"/>
    <row r="1323" ht="15" hidden="1"/>
    <row r="1324" ht="15" hidden="1"/>
    <row r="1325" ht="15" hidden="1"/>
    <row r="1326" ht="15" hidden="1"/>
    <row r="1327" ht="15" hidden="1"/>
    <row r="1328" ht="15" hidden="1"/>
    <row r="1329" ht="15" hidden="1"/>
    <row r="1330" ht="15" hidden="1"/>
    <row r="1331" ht="15" hidden="1"/>
    <row r="1332" ht="15" hidden="1"/>
    <row r="1333" ht="15" hidden="1"/>
    <row r="1334" ht="15" hidden="1"/>
    <row r="1335" ht="15" hidden="1"/>
    <row r="1336" ht="15" hidden="1"/>
    <row r="1337" ht="15" hidden="1"/>
    <row r="1338" ht="15" hidden="1"/>
    <row r="1339" ht="15" hidden="1"/>
    <row r="1340" ht="15" hidden="1"/>
    <row r="1341" ht="15" hidden="1"/>
    <row r="1342" ht="15" hidden="1"/>
    <row r="1343" ht="15" hidden="1"/>
    <row r="1344" ht="15" hidden="1"/>
    <row r="1345" ht="15" hidden="1"/>
    <row r="1346" ht="15" hidden="1"/>
    <row r="1347" ht="15" hidden="1"/>
    <row r="1348" ht="15" hidden="1"/>
    <row r="1349" ht="15" hidden="1"/>
    <row r="1350" ht="15" hidden="1"/>
    <row r="1351" ht="15" hidden="1"/>
    <row r="1352" ht="15" hidden="1"/>
    <row r="1353" ht="15" hidden="1"/>
    <row r="1354" ht="15" hidden="1"/>
    <row r="1355" ht="15" hidden="1"/>
    <row r="1356" ht="15" hidden="1"/>
    <row r="1357" ht="15" hidden="1"/>
    <row r="1358" ht="15" hidden="1"/>
    <row r="1359" ht="15" hidden="1"/>
    <row r="1360" ht="15" hidden="1"/>
    <row r="1361" ht="15" hidden="1"/>
    <row r="1362" ht="15" hidden="1"/>
    <row r="1363" ht="15" hidden="1"/>
    <row r="1364" ht="15" hidden="1"/>
    <row r="1365" ht="15" hidden="1"/>
    <row r="1366" ht="15" hidden="1"/>
    <row r="1367" ht="15" hidden="1"/>
    <row r="1368" ht="15" hidden="1"/>
    <row r="1369" ht="15" hidden="1"/>
    <row r="1370" ht="15" hidden="1"/>
    <row r="1371" ht="15" hidden="1"/>
    <row r="1372" ht="15" hidden="1"/>
    <row r="1373" ht="15" hidden="1"/>
    <row r="1374" ht="15" hidden="1"/>
    <row r="1375" ht="15" hidden="1"/>
    <row r="1376" ht="15" hidden="1"/>
    <row r="1377" ht="15" hidden="1"/>
    <row r="1378" ht="15" hidden="1"/>
    <row r="1379" ht="15" hidden="1"/>
    <row r="1380" ht="15" hidden="1"/>
    <row r="1381" ht="15" hidden="1"/>
    <row r="1382" ht="15" hidden="1"/>
    <row r="1383" ht="15" hidden="1"/>
    <row r="1384" ht="15" hidden="1"/>
    <row r="1385" ht="15" hidden="1"/>
    <row r="1386" ht="15" hidden="1"/>
    <row r="1387" ht="15" hidden="1"/>
    <row r="1388" ht="15" hidden="1"/>
    <row r="1389" ht="15" hidden="1"/>
    <row r="1390" ht="15" hidden="1"/>
    <row r="1391" ht="15" hidden="1"/>
    <row r="1392" ht="15" hidden="1"/>
    <row r="1393" ht="15" hidden="1"/>
    <row r="1394" ht="15" hidden="1"/>
    <row r="1395" ht="15" hidden="1"/>
    <row r="1396" ht="15" hidden="1"/>
    <row r="1397" ht="15" hidden="1"/>
    <row r="1398" ht="15" hidden="1"/>
    <row r="1399" ht="15" hidden="1"/>
    <row r="1400" ht="15" hidden="1"/>
    <row r="1401" ht="15" hidden="1"/>
    <row r="1402" ht="15" hidden="1"/>
    <row r="1403" ht="15" hidden="1"/>
    <row r="1404" ht="15" hidden="1"/>
    <row r="1405" ht="15" hidden="1"/>
    <row r="1406" ht="15" hidden="1"/>
    <row r="1407" ht="15" hidden="1"/>
    <row r="1408" ht="15" hidden="1"/>
    <row r="1409" ht="15" hidden="1"/>
    <row r="1410" ht="15" hidden="1"/>
    <row r="1411" ht="15" hidden="1"/>
    <row r="1412" ht="15" hidden="1"/>
    <row r="1413" ht="15" hidden="1"/>
    <row r="1414" ht="15" hidden="1"/>
    <row r="1415" ht="15" hidden="1"/>
    <row r="1416" ht="15" hidden="1"/>
    <row r="1417" ht="15" hidden="1"/>
    <row r="1418" ht="15" hidden="1"/>
    <row r="1419" ht="15" hidden="1"/>
    <row r="1420" ht="15" hidden="1"/>
    <row r="1421" ht="15" hidden="1"/>
    <row r="1422" ht="15" hidden="1"/>
    <row r="1423" ht="15" hidden="1"/>
    <row r="1424" ht="15" hidden="1"/>
    <row r="1425" ht="15" hidden="1"/>
    <row r="1426" ht="15" hidden="1"/>
    <row r="1427" ht="15" hidden="1"/>
    <row r="1428" ht="15" hidden="1"/>
    <row r="1429" ht="15" hidden="1"/>
    <row r="1430" ht="15" hidden="1"/>
    <row r="1431" ht="15" hidden="1"/>
    <row r="1432" ht="15" hidden="1"/>
    <row r="1433" ht="15" hidden="1"/>
    <row r="1434" ht="15" hidden="1"/>
    <row r="1435" ht="15" hidden="1"/>
    <row r="1436" ht="15" hidden="1"/>
    <row r="1437" ht="15" hidden="1"/>
    <row r="1438" ht="15" hidden="1"/>
    <row r="1439" ht="15" hidden="1"/>
    <row r="1440" ht="15" hidden="1"/>
    <row r="1441" ht="15" hidden="1"/>
    <row r="1442" ht="15" hidden="1"/>
    <row r="1443" ht="15" hidden="1"/>
    <row r="1444" ht="15" hidden="1"/>
    <row r="1445" ht="15" hidden="1"/>
    <row r="1446" ht="15" hidden="1"/>
    <row r="1447" ht="15" hidden="1"/>
    <row r="1448" ht="15" hidden="1"/>
    <row r="1449" ht="15" hidden="1"/>
    <row r="1450" ht="15" hidden="1"/>
    <row r="1451" ht="15" hidden="1"/>
    <row r="1452" ht="15" hidden="1"/>
    <row r="1453" ht="15" hidden="1"/>
    <row r="1454" ht="15" hidden="1"/>
    <row r="1455" ht="15" hidden="1"/>
    <row r="1456" ht="15" hidden="1"/>
    <row r="1457" ht="15" hidden="1"/>
    <row r="1458" ht="15" hidden="1"/>
    <row r="1459" ht="15" hidden="1"/>
    <row r="1460" ht="15" hidden="1"/>
    <row r="1461" ht="15" hidden="1"/>
    <row r="1462" ht="15" hidden="1"/>
    <row r="1463" ht="15" hidden="1"/>
    <row r="1464" ht="15" hidden="1"/>
    <row r="1465" ht="15" hidden="1"/>
    <row r="1466" ht="15" hidden="1"/>
    <row r="1467" ht="15" hidden="1"/>
    <row r="1468" ht="15" hidden="1"/>
    <row r="1469" ht="15" hidden="1"/>
    <row r="1470" ht="15" hidden="1"/>
    <row r="1471" ht="15" hidden="1"/>
    <row r="1472" ht="15" hidden="1"/>
    <row r="1473" ht="15" hidden="1"/>
    <row r="1474" ht="15" hidden="1"/>
    <row r="1475" ht="15" hidden="1"/>
    <row r="1476" ht="15" hidden="1"/>
    <row r="1477" ht="15" hidden="1"/>
    <row r="1478" ht="15" hidden="1"/>
    <row r="1479" ht="15" hidden="1"/>
    <row r="1480" ht="15" hidden="1"/>
    <row r="1481" ht="15" hidden="1"/>
    <row r="1482" ht="15" hidden="1"/>
    <row r="1483" ht="15" hidden="1"/>
    <row r="1484" ht="15" hidden="1"/>
    <row r="1485" ht="15" hidden="1"/>
    <row r="1486" ht="15" hidden="1"/>
    <row r="1487" ht="15" hidden="1"/>
    <row r="1488" ht="15" hidden="1"/>
    <row r="1489" ht="15" hidden="1"/>
    <row r="1490" ht="15" hidden="1"/>
    <row r="1491" ht="15" hidden="1"/>
    <row r="1492" ht="15" hidden="1"/>
    <row r="1493" ht="15" hidden="1"/>
    <row r="1494" ht="15" hidden="1"/>
    <row r="1495" ht="15" hidden="1"/>
    <row r="1496" ht="15" hidden="1"/>
    <row r="1497" ht="15" hidden="1"/>
    <row r="1498" ht="15" hidden="1"/>
    <row r="1499" ht="15" hidden="1"/>
    <row r="1500" ht="15" hidden="1"/>
    <row r="1501" ht="15" hidden="1"/>
    <row r="1502" ht="15" hidden="1"/>
    <row r="1503" ht="15" hidden="1"/>
    <row r="1504" ht="15" hidden="1"/>
    <row r="1505" ht="15" hidden="1"/>
    <row r="1506" ht="15" hidden="1"/>
    <row r="1507" ht="15" hidden="1"/>
    <row r="1508" ht="15" hidden="1"/>
    <row r="1509" ht="15" hidden="1"/>
    <row r="1510" ht="15" hidden="1"/>
    <row r="1511" ht="15" hidden="1"/>
    <row r="1512" ht="15" hidden="1"/>
    <row r="1513" ht="15" hidden="1"/>
    <row r="1514" ht="15" hidden="1"/>
    <row r="1515" ht="15" hidden="1"/>
    <row r="1516" ht="15" hidden="1"/>
    <row r="1517" ht="15" hidden="1"/>
    <row r="1518" ht="15" hidden="1"/>
    <row r="1519" ht="15" hidden="1"/>
    <row r="1520" ht="15" hidden="1"/>
    <row r="1521" ht="15" hidden="1"/>
    <row r="1522" ht="15" hidden="1"/>
    <row r="1523" ht="15" hidden="1"/>
    <row r="1524" ht="15" hidden="1"/>
    <row r="1525" ht="15" hidden="1"/>
    <row r="1526" ht="15" hidden="1"/>
    <row r="1527" ht="15" hidden="1"/>
    <row r="1528" ht="15" hidden="1"/>
    <row r="1529" ht="15" hidden="1"/>
    <row r="1530" ht="15" hidden="1"/>
    <row r="1531" ht="15" hidden="1"/>
    <row r="1532" ht="15" hidden="1"/>
    <row r="1533" ht="15" hidden="1"/>
    <row r="1534" ht="15" hidden="1"/>
    <row r="1535" ht="15" hidden="1"/>
    <row r="1536" ht="15" hidden="1"/>
    <row r="1537" ht="15" hidden="1"/>
    <row r="1538" ht="15" hidden="1"/>
    <row r="1539" ht="15" hidden="1"/>
    <row r="1540" ht="15" hidden="1"/>
    <row r="1541" ht="15" hidden="1"/>
    <row r="1542" ht="15" hidden="1"/>
    <row r="1543" ht="15" hidden="1"/>
    <row r="1544" ht="15" hidden="1"/>
    <row r="1545" ht="15" hidden="1"/>
    <row r="1546" ht="15" hidden="1"/>
    <row r="1547" ht="15" hidden="1"/>
    <row r="1548" ht="15" hidden="1"/>
    <row r="1549" ht="15" hidden="1"/>
    <row r="1550" ht="15" hidden="1"/>
    <row r="1551" ht="15" hidden="1"/>
    <row r="1552" ht="15" hidden="1"/>
    <row r="1553" ht="15" hidden="1"/>
    <row r="1554" ht="15" hidden="1"/>
    <row r="1555" ht="15" hidden="1"/>
    <row r="1556" ht="15" hidden="1"/>
    <row r="1557" ht="15" hidden="1"/>
    <row r="1558" ht="15" hidden="1"/>
    <row r="1559" ht="15" hidden="1"/>
    <row r="1560" ht="15" hidden="1"/>
    <row r="1561" ht="15" hidden="1"/>
    <row r="1562" ht="15" hidden="1"/>
    <row r="1563" ht="15" hidden="1"/>
    <row r="1564" ht="15" hidden="1"/>
    <row r="1565" ht="15" hidden="1"/>
    <row r="1566" ht="15" hidden="1"/>
    <row r="1567" ht="15" hidden="1"/>
    <row r="1568" ht="15" hidden="1"/>
    <row r="1569" ht="15" hidden="1"/>
    <row r="1570" ht="15" hidden="1"/>
    <row r="1571" ht="15" hidden="1"/>
    <row r="1572" ht="15" hidden="1"/>
    <row r="1573" ht="15" hidden="1"/>
    <row r="1574" ht="15" hidden="1"/>
    <row r="1575" ht="15" hidden="1"/>
    <row r="1576" ht="15" hidden="1"/>
    <row r="1577" ht="15" hidden="1"/>
    <row r="1578" ht="15" hidden="1"/>
    <row r="1579" ht="15" hidden="1"/>
    <row r="1580" ht="15" hidden="1"/>
    <row r="1581" ht="15" hidden="1"/>
    <row r="1582" ht="15" hidden="1"/>
    <row r="1583" ht="15" hidden="1"/>
    <row r="1584" ht="15" hidden="1"/>
    <row r="1585" ht="15" hidden="1"/>
    <row r="1586" ht="15" hidden="1"/>
    <row r="1587" ht="15" hidden="1"/>
    <row r="1588" ht="15" hidden="1"/>
    <row r="1589" ht="15" hidden="1"/>
    <row r="1590" ht="15" hidden="1"/>
    <row r="1591" ht="15" hidden="1" customHeight="1"/>
    <row r="1592" ht="15" hidden="1" customHeight="1"/>
    <row r="1593" ht="15" hidden="1" customHeight="1"/>
    <row r="1594" ht="15" hidden="1" customHeight="1"/>
    <row r="1595" ht="15" hidden="1" customHeight="1"/>
    <row r="1596" ht="15" hidden="1" customHeight="1"/>
    <row r="1597" ht="15" hidden="1" customHeight="1"/>
    <row r="1598" ht="15" hidden="1" customHeight="1"/>
    <row r="1599" ht="15" hidden="1" customHeight="1"/>
    <row r="1600" ht="15" hidden="1" customHeight="1"/>
    <row r="1601" ht="15" hidden="1" customHeight="1"/>
    <row r="1602" ht="15" hidden="1" customHeight="1"/>
    <row r="1603" ht="15" hidden="1" customHeight="1"/>
    <row r="1604" ht="15" hidden="1" customHeight="1"/>
    <row r="1605" ht="15" hidden="1" customHeight="1"/>
    <row r="1606" ht="15" hidden="1" customHeight="1"/>
    <row r="1607" ht="15" hidden="1" customHeight="1"/>
    <row r="1608" ht="15" hidden="1" customHeight="1"/>
    <row r="1609" ht="15" hidden="1" customHeight="1"/>
    <row r="1610" ht="15" hidden="1" customHeight="1"/>
    <row r="1611" ht="15" hidden="1" customHeight="1"/>
    <row r="1612" ht="15" hidden="1" customHeight="1"/>
    <row r="1613" ht="15" hidden="1" customHeight="1"/>
    <row r="1614" ht="15" hidden="1" customHeight="1"/>
    <row r="1615" ht="15" hidden="1" customHeight="1"/>
    <row r="1616" ht="15" hidden="1" customHeight="1"/>
    <row r="1617" ht="15" hidden="1" customHeight="1"/>
    <row r="1618" ht="15" hidden="1" customHeight="1"/>
    <row r="1619" ht="15" hidden="1" customHeight="1"/>
    <row r="1620" ht="15" hidden="1" customHeight="1"/>
    <row r="1621" ht="15" hidden="1" customHeight="1"/>
    <row r="1622" ht="15" hidden="1" customHeight="1"/>
    <row r="1623" ht="15" hidden="1" customHeight="1"/>
    <row r="1624" ht="15" hidden="1" customHeight="1"/>
    <row r="1625" ht="15" hidden="1" customHeight="1"/>
    <row r="1626" ht="15" hidden="1" customHeight="1"/>
    <row r="1627" ht="15" hidden="1" customHeight="1"/>
    <row r="1628" ht="15" hidden="1" customHeight="1"/>
    <row r="1629" ht="15" hidden="1" customHeight="1"/>
    <row r="1630" ht="15" hidden="1" customHeight="1"/>
    <row r="1631" ht="15" hidden="1" customHeight="1"/>
    <row r="1632" ht="15" hidden="1" customHeight="1"/>
    <row r="1633" ht="15" hidden="1" customHeight="1"/>
    <row r="1634" ht="15" hidden="1" customHeight="1"/>
    <row r="1635" ht="15" hidden="1" customHeight="1"/>
    <row r="1636" ht="15" hidden="1" customHeight="1"/>
    <row r="1637" ht="15" hidden="1" customHeight="1"/>
    <row r="1638" ht="15" hidden="1" customHeight="1"/>
    <row r="1639" ht="15" hidden="1" customHeight="1"/>
    <row r="1640" ht="15" hidden="1" customHeight="1"/>
    <row r="1641" ht="15" hidden="1" customHeight="1"/>
    <row r="1642" ht="15" hidden="1" customHeight="1"/>
    <row r="1643" ht="15" hidden="1" customHeight="1"/>
    <row r="1644" ht="15" hidden="1" customHeight="1"/>
    <row r="1645" ht="15" hidden="1" customHeight="1"/>
    <row r="1646" ht="15" hidden="1" customHeight="1"/>
    <row r="1647" ht="15" hidden="1" customHeight="1"/>
    <row r="1648" ht="15" hidden="1" customHeight="1"/>
    <row r="1649" ht="15" hidden="1" customHeight="1"/>
    <row r="1650" ht="15" hidden="1" customHeight="1"/>
    <row r="1651" ht="15" hidden="1" customHeight="1"/>
    <row r="1652" ht="15" hidden="1" customHeight="1"/>
    <row r="1653" ht="15" hidden="1" customHeight="1"/>
    <row r="1654" ht="15" hidden="1" customHeight="1"/>
    <row r="1655" ht="15" hidden="1" customHeight="1"/>
    <row r="1656" ht="15" hidden="1" customHeight="1"/>
    <row r="1657" ht="15" hidden="1" customHeight="1"/>
    <row r="1658" ht="15" hidden="1" customHeight="1"/>
    <row r="1659" ht="15" hidden="1" customHeight="1"/>
    <row r="1660" ht="15" hidden="1" customHeight="1"/>
    <row r="1661" ht="15" hidden="1" customHeight="1"/>
    <row r="1662" ht="15" hidden="1" customHeight="1"/>
    <row r="1663" ht="15" hidden="1" customHeight="1"/>
    <row r="1664" ht="15" hidden="1" customHeight="1"/>
    <row r="1665" ht="15" hidden="1" customHeight="1"/>
    <row r="1666" ht="15" hidden="1" customHeight="1"/>
    <row r="1667" ht="15" hidden="1" customHeight="1"/>
    <row r="1668" ht="15" hidden="1" customHeight="1"/>
    <row r="1669" ht="15" hidden="1" customHeight="1"/>
    <row r="1670" ht="15" hidden="1" customHeight="1"/>
    <row r="1671" ht="15" hidden="1" customHeight="1"/>
    <row r="1672" ht="15" hidden="1" customHeight="1"/>
    <row r="1673" ht="15" hidden="1" customHeight="1"/>
    <row r="1674" ht="15" hidden="1" customHeight="1"/>
    <row r="1675" ht="15" hidden="1" customHeight="1"/>
    <row r="1676" ht="15" hidden="1" customHeight="1"/>
    <row r="1677" ht="15" hidden="1" customHeight="1"/>
    <row r="1678" ht="15" hidden="1" customHeight="1"/>
    <row r="1679" ht="15" hidden="1" customHeight="1"/>
    <row r="1680" ht="15" hidden="1" customHeight="1"/>
    <row r="1681" ht="15" hidden="1" customHeight="1"/>
    <row r="1682" ht="15" hidden="1" customHeight="1"/>
    <row r="1683" ht="15" hidden="1" customHeight="1"/>
    <row r="1684" ht="15" hidden="1" customHeight="1"/>
    <row r="1685" ht="15" hidden="1" customHeight="1"/>
    <row r="1686" ht="15" hidden="1" customHeight="1"/>
    <row r="1687" ht="15" hidden="1" customHeight="1"/>
    <row r="1688" ht="15" hidden="1" customHeight="1"/>
    <row r="1689" ht="15" hidden="1" customHeight="1"/>
    <row r="1690" ht="15" hidden="1" customHeight="1"/>
    <row r="1691" ht="15" hidden="1" customHeight="1"/>
    <row r="1692" ht="15" hidden="1" customHeight="1"/>
    <row r="1693" ht="15" hidden="1" customHeight="1"/>
    <row r="1694" ht="15" hidden="1" customHeight="1"/>
    <row r="1695" ht="15" hidden="1" customHeight="1"/>
    <row r="1696" ht="15" hidden="1" customHeight="1"/>
    <row r="1697" ht="15" hidden="1" customHeight="1"/>
    <row r="1698" ht="15" hidden="1" customHeight="1"/>
    <row r="1699" ht="15" hidden="1" customHeight="1"/>
    <row r="1700" ht="15" hidden="1" customHeight="1"/>
    <row r="1701" ht="15" hidden="1" customHeight="1"/>
    <row r="1702" ht="15" hidden="1" customHeight="1"/>
    <row r="1703" ht="15" hidden="1" customHeight="1"/>
    <row r="1704" ht="15" hidden="1" customHeight="1"/>
    <row r="1705" ht="15" hidden="1" customHeight="1"/>
    <row r="1706" ht="15" hidden="1" customHeight="1"/>
    <row r="1707" ht="15" hidden="1" customHeight="1"/>
    <row r="1708" ht="15" hidden="1" customHeight="1"/>
    <row r="1709" ht="15" hidden="1" customHeight="1"/>
    <row r="1710" ht="15" hidden="1" customHeight="1"/>
    <row r="1711" ht="15" hidden="1" customHeight="1"/>
    <row r="1712" ht="15" hidden="1" customHeight="1"/>
    <row r="1713" ht="15" hidden="1" customHeight="1"/>
    <row r="1714" ht="15" hidden="1" customHeight="1"/>
    <row r="1715" ht="15" hidden="1" customHeight="1"/>
    <row r="1716" ht="15" hidden="1" customHeight="1"/>
    <row r="1717" ht="15" hidden="1" customHeight="1"/>
    <row r="1718" ht="15" hidden="1" customHeight="1"/>
    <row r="1719" ht="15" hidden="1" customHeight="1"/>
    <row r="1720" ht="15" hidden="1" customHeight="1"/>
    <row r="1721" ht="15" hidden="1" customHeight="1"/>
    <row r="1722" ht="15" hidden="1" customHeight="1"/>
    <row r="1723" ht="15" hidden="1" customHeight="1"/>
    <row r="1724" ht="15" hidden="1" customHeight="1"/>
    <row r="1725" ht="15" hidden="1" customHeight="1"/>
    <row r="1726" ht="15" hidden="1" customHeight="1"/>
    <row r="1727" ht="15" hidden="1" customHeight="1"/>
    <row r="1728" ht="15" hidden="1" customHeight="1"/>
    <row r="1729" ht="15" hidden="1" customHeight="1"/>
    <row r="1730" ht="15" hidden="1" customHeight="1"/>
    <row r="1731" ht="15" hidden="1" customHeight="1"/>
    <row r="1732" ht="15" hidden="1" customHeight="1"/>
    <row r="1733" ht="15" hidden="1" customHeight="1"/>
    <row r="1734" ht="15" hidden="1" customHeight="1"/>
    <row r="1735" ht="15" hidden="1" customHeight="1"/>
    <row r="1736" ht="15" hidden="1" customHeight="1"/>
    <row r="1737" ht="15" hidden="1" customHeight="1"/>
    <row r="1738" ht="15" hidden="1" customHeight="1"/>
    <row r="1739" ht="15" hidden="1" customHeight="1"/>
    <row r="1740" ht="15" hidden="1" customHeight="1"/>
    <row r="1741" ht="15" hidden="1" customHeight="1"/>
    <row r="1742" ht="15" hidden="1" customHeight="1"/>
    <row r="1743" ht="15" hidden="1" customHeight="1"/>
    <row r="1744" ht="15" hidden="1" customHeight="1"/>
    <row r="1745" ht="15" hidden="1" customHeight="1"/>
    <row r="1746" ht="15" hidden="1" customHeight="1"/>
    <row r="1747" ht="15" hidden="1" customHeight="1"/>
    <row r="1748" ht="15" hidden="1" customHeight="1"/>
    <row r="1749" ht="15" hidden="1" customHeight="1"/>
    <row r="1750" ht="15" hidden="1" customHeight="1"/>
    <row r="1751" ht="15" hidden="1" customHeight="1"/>
    <row r="1752" ht="15" hidden="1" customHeight="1"/>
    <row r="1753" ht="15" hidden="1" customHeight="1"/>
    <row r="1754" ht="15" hidden="1" customHeight="1"/>
    <row r="1755" ht="15" hidden="1" customHeight="1"/>
    <row r="1756" ht="15" hidden="1" customHeight="1"/>
    <row r="1757" ht="15" hidden="1" customHeight="1"/>
    <row r="1758" ht="15" hidden="1" customHeight="1"/>
    <row r="1759" ht="15" hidden="1" customHeight="1"/>
    <row r="1760" ht="15" hidden="1" customHeight="1"/>
    <row r="1761" ht="15" hidden="1" customHeight="1"/>
    <row r="1762" ht="15" hidden="1" customHeight="1"/>
    <row r="1763" ht="15" hidden="1" customHeight="1"/>
    <row r="1764" ht="15" hidden="1" customHeight="1"/>
    <row r="1765" ht="15" hidden="1" customHeight="1"/>
    <row r="1766" ht="15" hidden="1" customHeight="1"/>
    <row r="1767" ht="15" hidden="1" customHeight="1"/>
    <row r="1768" ht="15" hidden="1" customHeight="1"/>
    <row r="1769" ht="15" hidden="1" customHeight="1"/>
    <row r="1770" ht="15" hidden="1" customHeight="1"/>
    <row r="1771" ht="15" hidden="1" customHeight="1"/>
    <row r="1772" ht="15" hidden="1" customHeight="1"/>
    <row r="1773" ht="15" hidden="1" customHeight="1"/>
    <row r="1774" ht="15" hidden="1" customHeight="1"/>
    <row r="1775" ht="15" hidden="1" customHeight="1"/>
    <row r="1776" ht="15" hidden="1" customHeight="1"/>
    <row r="1777" ht="15" hidden="1" customHeight="1"/>
    <row r="1778" ht="15" hidden="1" customHeight="1"/>
    <row r="1779" ht="15" hidden="1" customHeight="1"/>
    <row r="1780" ht="15" hidden="1" customHeight="1"/>
    <row r="1781" ht="15" hidden="1" customHeight="1"/>
    <row r="1782" ht="15" hidden="1" customHeight="1"/>
    <row r="1783" ht="15" hidden="1" customHeight="1"/>
    <row r="1784" ht="15" hidden="1" customHeight="1"/>
    <row r="1785" ht="15" hidden="1" customHeight="1"/>
    <row r="1786" ht="15" hidden="1" customHeight="1"/>
    <row r="1787" ht="15" hidden="1" customHeight="1"/>
    <row r="1788" ht="15" hidden="1" customHeight="1"/>
    <row r="1789" ht="15" hidden="1" customHeight="1"/>
    <row r="1790" ht="15" hidden="1" customHeight="1"/>
    <row r="1791" ht="15" hidden="1" customHeight="1"/>
    <row r="1792" ht="15" hidden="1" customHeight="1"/>
    <row r="1793" ht="15" hidden="1" customHeight="1"/>
    <row r="1794" ht="15" hidden="1" customHeight="1"/>
    <row r="1795" ht="15" hidden="1" customHeight="1"/>
    <row r="1796" ht="15" hidden="1" customHeight="1"/>
    <row r="1797" ht="15" hidden="1" customHeight="1"/>
    <row r="1798" ht="15" hidden="1" customHeight="1"/>
    <row r="1799" ht="15" hidden="1" customHeight="1"/>
    <row r="1800" ht="15" hidden="1" customHeight="1"/>
    <row r="1801" ht="15" hidden="1" customHeight="1"/>
    <row r="1802" ht="15" hidden="1" customHeight="1"/>
    <row r="1803" ht="15" hidden="1" customHeight="1"/>
    <row r="1804" ht="15" hidden="1" customHeight="1"/>
    <row r="1805" ht="15" hidden="1" customHeight="1"/>
    <row r="1806" ht="15" hidden="1" customHeight="1"/>
    <row r="1807" ht="15" hidden="1" customHeight="1"/>
    <row r="1808" ht="15" hidden="1" customHeight="1"/>
    <row r="1809" ht="15" hidden="1" customHeight="1"/>
    <row r="1810" ht="15" hidden="1" customHeight="1"/>
    <row r="1811" ht="15" hidden="1" customHeight="1"/>
    <row r="1812" ht="15" hidden="1" customHeight="1"/>
    <row r="1813" ht="15" hidden="1" customHeight="1"/>
    <row r="1814" ht="15" hidden="1" customHeight="1"/>
    <row r="1815" ht="15" hidden="1" customHeight="1"/>
    <row r="1816" ht="15" hidden="1" customHeight="1"/>
    <row r="1817" ht="15" hidden="1" customHeight="1"/>
    <row r="1818" ht="15" hidden="1" customHeight="1"/>
    <row r="1819" ht="15" hidden="1" customHeight="1"/>
    <row r="1820" ht="15" hidden="1" customHeight="1"/>
    <row r="1821" ht="15" hidden="1" customHeight="1"/>
    <row r="1822" ht="15" hidden="1" customHeight="1"/>
    <row r="1823" ht="15" hidden="1" customHeight="1"/>
    <row r="1824" ht="15" hidden="1" customHeight="1"/>
    <row r="1825" ht="15" hidden="1" customHeight="1"/>
    <row r="1826" ht="15" hidden="1" customHeight="1"/>
    <row r="1827" ht="15" hidden="1" customHeight="1"/>
    <row r="1828" ht="15" hidden="1" customHeight="1"/>
    <row r="1829" ht="15" hidden="1" customHeight="1"/>
    <row r="1830" ht="15" hidden="1" customHeight="1"/>
    <row r="1831" ht="15" hidden="1" customHeight="1"/>
    <row r="1832" ht="15" hidden="1" customHeight="1"/>
    <row r="1833" ht="15" hidden="1" customHeight="1"/>
    <row r="1834" ht="15" hidden="1" customHeight="1"/>
    <row r="1835" ht="15" hidden="1" customHeight="1"/>
    <row r="1836" ht="15" hidden="1" customHeight="1"/>
    <row r="1837" ht="15" hidden="1" customHeight="1"/>
    <row r="1838" ht="15" hidden="1" customHeight="1"/>
    <row r="1839" ht="15" hidden="1" customHeight="1"/>
    <row r="1840" ht="15" hidden="1" customHeight="1"/>
    <row r="1841" ht="15" hidden="1" customHeight="1"/>
    <row r="1842" ht="15" hidden="1" customHeight="1"/>
    <row r="1843" ht="15" hidden="1" customHeight="1"/>
    <row r="1844" ht="15" hidden="1" customHeight="1"/>
    <row r="1845" ht="15" hidden="1" customHeight="1"/>
    <row r="1846" ht="15" hidden="1" customHeight="1"/>
    <row r="1847" ht="15" hidden="1" customHeight="1"/>
    <row r="1848" ht="15" hidden="1" customHeight="1"/>
    <row r="1849" ht="15" hidden="1" customHeight="1"/>
    <row r="1850" ht="15" hidden="1" customHeight="1"/>
    <row r="1851" ht="15" hidden="1" customHeight="1"/>
    <row r="1852" ht="15" hidden="1" customHeight="1"/>
    <row r="1853" ht="15" hidden="1" customHeight="1"/>
    <row r="1854" ht="15" hidden="1" customHeight="1"/>
    <row r="1855" ht="15" hidden="1" customHeight="1"/>
    <row r="1856" ht="15" hidden="1" customHeight="1"/>
    <row r="1857" ht="15" hidden="1" customHeight="1"/>
    <row r="1858" ht="15" hidden="1" customHeight="1"/>
    <row r="1859" ht="15" hidden="1" customHeight="1"/>
    <row r="1860" ht="15" hidden="1" customHeight="1"/>
    <row r="1861" ht="15" hidden="1" customHeight="1"/>
    <row r="1862" ht="15" hidden="1" customHeight="1"/>
    <row r="1863" ht="15" hidden="1" customHeight="1"/>
    <row r="1864" ht="15" hidden="1" customHeight="1"/>
    <row r="1865" ht="15" hidden="1" customHeight="1"/>
    <row r="1866" ht="15" hidden="1" customHeight="1"/>
    <row r="1867" ht="15" hidden="1" customHeight="1"/>
    <row r="1868" ht="15" hidden="1" customHeight="1"/>
    <row r="1869" ht="15" hidden="1" customHeight="1"/>
    <row r="1870" ht="15" hidden="1" customHeight="1"/>
    <row r="1871" ht="15" hidden="1" customHeight="1"/>
    <row r="1872" ht="15" hidden="1" customHeight="1"/>
    <row r="1873" ht="15" hidden="1" customHeight="1"/>
    <row r="1874" ht="15" hidden="1" customHeight="1"/>
    <row r="1875" ht="15" hidden="1" customHeight="1"/>
    <row r="1876" ht="15" hidden="1" customHeight="1"/>
    <row r="1877" ht="15" hidden="1" customHeight="1"/>
    <row r="1878" ht="15" hidden="1" customHeight="1"/>
    <row r="1879" ht="15" hidden="1" customHeight="1"/>
    <row r="1880" ht="15" hidden="1" customHeight="1"/>
    <row r="1881" ht="15" hidden="1" customHeight="1"/>
    <row r="1882" ht="15" hidden="1" customHeight="1"/>
    <row r="1883" ht="15" hidden="1" customHeight="1"/>
    <row r="1884" ht="15" hidden="1" customHeight="1"/>
    <row r="1885" ht="15" hidden="1" customHeight="1"/>
    <row r="1886" ht="15" hidden="1" customHeight="1"/>
    <row r="1887" ht="15" hidden="1" customHeight="1"/>
    <row r="1888" ht="15" hidden="1" customHeight="1"/>
    <row r="1889" ht="15" hidden="1" customHeight="1"/>
    <row r="1890" ht="15" hidden="1" customHeight="1"/>
    <row r="1891" ht="15" hidden="1" customHeight="1"/>
    <row r="1892" ht="15" hidden="1" customHeight="1"/>
    <row r="1893" ht="15" hidden="1" customHeight="1"/>
    <row r="1894" ht="15" hidden="1" customHeight="1"/>
    <row r="1895" ht="15" hidden="1" customHeight="1"/>
    <row r="1896" ht="15" hidden="1" customHeight="1"/>
    <row r="1897" ht="15" hidden="1" customHeight="1"/>
    <row r="1898" ht="15" hidden="1" customHeight="1"/>
    <row r="1899" ht="15" hidden="1" customHeight="1"/>
    <row r="1900" ht="15" hidden="1" customHeight="1"/>
    <row r="1901" ht="15" hidden="1" customHeight="1"/>
    <row r="1902" ht="15" hidden="1" customHeight="1"/>
    <row r="1903" ht="15" hidden="1" customHeight="1"/>
    <row r="1904" ht="15" hidden="1" customHeight="1"/>
    <row r="1905" ht="15" hidden="1" customHeight="1"/>
    <row r="1906" ht="15" hidden="1" customHeight="1"/>
    <row r="1907" ht="15" hidden="1" customHeight="1"/>
    <row r="1908" ht="15" hidden="1" customHeight="1"/>
    <row r="1909" ht="15" hidden="1" customHeight="1"/>
    <row r="1910" ht="15" hidden="1" customHeight="1"/>
    <row r="1911" ht="15" hidden="1" customHeight="1"/>
    <row r="1912" ht="15" hidden="1" customHeight="1"/>
    <row r="1913" ht="15" hidden="1" customHeight="1"/>
    <row r="1914" ht="15" hidden="1" customHeight="1"/>
    <row r="1915" ht="15" hidden="1" customHeight="1"/>
    <row r="1916" ht="15" hidden="1" customHeight="1"/>
    <row r="1917" ht="15" hidden="1" customHeight="1"/>
    <row r="1918" ht="15" hidden="1" customHeight="1"/>
    <row r="1919" ht="15" hidden="1" customHeight="1"/>
    <row r="1920" ht="15" hidden="1" customHeight="1"/>
    <row r="1921" ht="15" hidden="1" customHeight="1"/>
    <row r="1922" ht="15" hidden="1" customHeight="1"/>
    <row r="1923" ht="15" hidden="1" customHeight="1"/>
    <row r="1924" ht="15" hidden="1" customHeight="1"/>
    <row r="1925" ht="15" hidden="1" customHeight="1"/>
    <row r="1926" ht="15" hidden="1" customHeight="1"/>
    <row r="1927" ht="15" hidden="1" customHeight="1"/>
    <row r="1928" ht="15" hidden="1" customHeight="1"/>
    <row r="1929" ht="15" hidden="1" customHeight="1"/>
    <row r="1930" ht="15" hidden="1" customHeight="1"/>
    <row r="1931" ht="15" hidden="1" customHeight="1"/>
    <row r="1932" ht="15" hidden="1" customHeight="1"/>
    <row r="1933" ht="15" hidden="1" customHeight="1"/>
    <row r="1934" ht="15" hidden="1" customHeight="1"/>
    <row r="1935" ht="15" hidden="1" customHeight="1"/>
    <row r="1936" ht="15" hidden="1" customHeight="1"/>
    <row r="1937" ht="15" hidden="1" customHeight="1"/>
    <row r="1938" ht="15" hidden="1" customHeight="1"/>
    <row r="1939" ht="15" hidden="1" customHeight="1"/>
    <row r="1940" ht="15" hidden="1" customHeight="1"/>
    <row r="1941" ht="15" hidden="1" customHeight="1"/>
    <row r="1942" ht="15" hidden="1" customHeight="1"/>
    <row r="1943" ht="15" hidden="1" customHeight="1"/>
    <row r="1944" ht="15" hidden="1" customHeight="1"/>
    <row r="1945" ht="15" hidden="1" customHeight="1"/>
    <row r="1946" ht="15" hidden="1" customHeight="1"/>
    <row r="1947" ht="15" hidden="1" customHeight="1"/>
    <row r="1948" ht="15" hidden="1" customHeight="1"/>
    <row r="1949" ht="15" hidden="1" customHeight="1"/>
    <row r="1950" ht="15" hidden="1" customHeight="1"/>
    <row r="1951" ht="15" hidden="1" customHeight="1"/>
    <row r="1952" ht="15" hidden="1" customHeight="1"/>
    <row r="1953" ht="15" hidden="1" customHeight="1"/>
    <row r="1954" ht="15" hidden="1" customHeight="1"/>
    <row r="1955" ht="15" hidden="1" customHeight="1"/>
    <row r="1956" ht="15" hidden="1" customHeight="1"/>
    <row r="1957" ht="15" hidden="1" customHeight="1"/>
    <row r="1958" ht="15" hidden="1" customHeight="1"/>
    <row r="1959" ht="15" hidden="1" customHeight="1"/>
    <row r="1960" ht="15" hidden="1" customHeight="1"/>
    <row r="1961" ht="15" hidden="1" customHeight="1"/>
    <row r="1962" ht="15" hidden="1" customHeight="1"/>
    <row r="1963" ht="15" hidden="1" customHeight="1"/>
    <row r="1964" ht="15" hidden="1" customHeight="1"/>
    <row r="1965" ht="15" hidden="1" customHeight="1"/>
    <row r="1966" ht="15" hidden="1" customHeight="1"/>
    <row r="1967" ht="15" hidden="1" customHeight="1"/>
    <row r="1968" ht="15" hidden="1" customHeight="1"/>
    <row r="1969" ht="15" hidden="1" customHeight="1"/>
    <row r="1970" ht="15" hidden="1" customHeight="1"/>
    <row r="1971" ht="15" hidden="1" customHeight="1"/>
    <row r="1972" ht="15" hidden="1" customHeight="1"/>
    <row r="1973" ht="15" hidden="1" customHeight="1"/>
    <row r="1974" ht="15" hidden="1" customHeight="1"/>
    <row r="1975" ht="15" hidden="1" customHeight="1"/>
    <row r="1976" ht="15" hidden="1" customHeight="1"/>
    <row r="1977" ht="15" hidden="1" customHeight="1"/>
    <row r="1978" ht="15" hidden="1" customHeight="1"/>
    <row r="1979" ht="15" hidden="1" customHeight="1"/>
    <row r="1980" ht="15" hidden="1" customHeight="1"/>
    <row r="1981" ht="15" hidden="1" customHeight="1"/>
    <row r="1982" ht="15" hidden="1" customHeight="1"/>
    <row r="1983" ht="15" hidden="1" customHeight="1"/>
    <row r="1984" ht="15" hidden="1" customHeight="1"/>
    <row r="1985" ht="15" hidden="1" customHeight="1"/>
    <row r="1986" ht="15" hidden="1" customHeight="1"/>
    <row r="1987" ht="15" hidden="1" customHeight="1"/>
    <row r="1988" ht="15" hidden="1" customHeight="1"/>
    <row r="1989" ht="15" hidden="1" customHeight="1"/>
    <row r="1990" ht="15" hidden="1" customHeight="1"/>
    <row r="1991" ht="15" hidden="1" customHeight="1"/>
    <row r="1992" ht="15" hidden="1" customHeight="1"/>
    <row r="1993" ht="15" hidden="1" customHeight="1"/>
    <row r="1994" ht="15" hidden="1" customHeight="1"/>
    <row r="1995" ht="15" hidden="1" customHeight="1"/>
    <row r="1996" ht="15" hidden="1" customHeight="1"/>
    <row r="1997" ht="15" hidden="1" customHeight="1"/>
    <row r="1998" ht="15" hidden="1" customHeight="1"/>
    <row r="1999" ht="15" hidden="1" customHeight="1"/>
    <row r="2000" ht="15" hidden="1" customHeight="1"/>
    <row r="2001" ht="15" hidden="1" customHeight="1"/>
    <row r="2002" ht="15" hidden="1" customHeight="1"/>
    <row r="2003" ht="15" hidden="1" customHeight="1"/>
    <row r="2004" ht="15" hidden="1" customHeight="1"/>
    <row r="2005" ht="15" hidden="1" customHeight="1"/>
    <row r="2006" ht="15" hidden="1" customHeight="1"/>
    <row r="2007" ht="15" hidden="1" customHeight="1"/>
    <row r="2008" ht="15" hidden="1" customHeight="1"/>
    <row r="2009" ht="15" hidden="1" customHeight="1"/>
    <row r="2010" ht="15" hidden="1" customHeight="1"/>
    <row r="2011" ht="15" hidden="1" customHeight="1"/>
    <row r="2012" ht="15" hidden="1" customHeight="1"/>
    <row r="2013" ht="15" hidden="1" customHeight="1"/>
    <row r="2014" ht="15" hidden="1" customHeight="1"/>
    <row r="2015" ht="15" hidden="1" customHeight="1"/>
    <row r="2016" ht="15" hidden="1" customHeight="1"/>
    <row r="2017" ht="15" hidden="1" customHeight="1"/>
    <row r="2018" ht="15" hidden="1" customHeight="1"/>
    <row r="2019" ht="15" hidden="1" customHeight="1"/>
    <row r="2020" ht="15" hidden="1" customHeight="1"/>
    <row r="2021" ht="15" hidden="1" customHeight="1"/>
    <row r="2022" ht="15" hidden="1" customHeight="1"/>
    <row r="2023" ht="15" hidden="1" customHeight="1"/>
    <row r="2024" ht="15" hidden="1" customHeight="1"/>
    <row r="2025" ht="15" hidden="1" customHeight="1"/>
    <row r="2026" ht="15" hidden="1" customHeight="1"/>
    <row r="2027" ht="15" hidden="1" customHeight="1"/>
    <row r="2028" ht="15" hidden="1" customHeight="1"/>
    <row r="2029" ht="15" hidden="1" customHeight="1"/>
    <row r="2030" ht="15" hidden="1" customHeight="1"/>
    <row r="2031" ht="15" hidden="1" customHeight="1"/>
    <row r="2032" ht="15" hidden="1" customHeight="1"/>
    <row r="2033" ht="15" hidden="1" customHeight="1"/>
    <row r="2034" ht="15" hidden="1" customHeight="1"/>
    <row r="2035" ht="15" hidden="1" customHeight="1"/>
    <row r="2036" ht="15" hidden="1" customHeight="1"/>
    <row r="2037" ht="15" hidden="1" customHeight="1"/>
    <row r="2038" ht="15" hidden="1" customHeight="1"/>
    <row r="2039" ht="15" hidden="1" customHeight="1"/>
    <row r="2040" ht="15" hidden="1" customHeight="1"/>
    <row r="2041" ht="15" hidden="1" customHeight="1"/>
    <row r="2042" ht="15" hidden="1" customHeight="1"/>
    <row r="2043" ht="15" hidden="1" customHeight="1"/>
    <row r="2044" ht="15" hidden="1" customHeight="1"/>
    <row r="2045" ht="15" hidden="1" customHeight="1"/>
    <row r="2046" ht="15" hidden="1" customHeight="1"/>
    <row r="2047" ht="15" hidden="1" customHeight="1"/>
    <row r="2048" ht="15" hidden="1" customHeight="1"/>
    <row r="2049" ht="15" hidden="1" customHeight="1"/>
    <row r="2050" ht="15" hidden="1" customHeight="1"/>
    <row r="2051" ht="15" hidden="1" customHeight="1"/>
    <row r="2052" ht="15" hidden="1" customHeight="1"/>
    <row r="2053" ht="15" hidden="1" customHeight="1"/>
    <row r="2054" ht="15" hidden="1" customHeight="1"/>
    <row r="2055" ht="15" hidden="1" customHeight="1"/>
    <row r="2056" ht="15" hidden="1" customHeight="1"/>
    <row r="2057" ht="15" hidden="1" customHeight="1"/>
    <row r="2058" ht="15" hidden="1" customHeight="1"/>
    <row r="2059" ht="15" hidden="1" customHeight="1"/>
    <row r="2060" ht="15" hidden="1" customHeight="1"/>
    <row r="2061" ht="15" hidden="1" customHeight="1"/>
    <row r="2062" ht="15" hidden="1" customHeight="1"/>
    <row r="2063" ht="15" hidden="1" customHeight="1"/>
    <row r="2064" ht="15" hidden="1" customHeight="1"/>
    <row r="2065" ht="15" hidden="1" customHeight="1"/>
    <row r="2066" ht="15" hidden="1" customHeight="1"/>
    <row r="2067" ht="15" hidden="1" customHeight="1"/>
    <row r="2068" ht="15" hidden="1" customHeight="1"/>
    <row r="2069" ht="15" hidden="1" customHeight="1"/>
    <row r="2070" ht="15" hidden="1" customHeight="1"/>
    <row r="2071" ht="15" hidden="1" customHeight="1"/>
    <row r="2072" ht="15" hidden="1" customHeight="1"/>
    <row r="2073" ht="15" hidden="1" customHeight="1"/>
    <row r="2074" ht="15" hidden="1" customHeight="1"/>
    <row r="2075" ht="15" hidden="1" customHeight="1"/>
    <row r="2076" ht="15" hidden="1" customHeight="1"/>
    <row r="2077" ht="15" hidden="1" customHeight="1"/>
    <row r="2078" ht="15" hidden="1" customHeight="1"/>
    <row r="2079" ht="15" hidden="1" customHeight="1"/>
    <row r="2080" ht="15" hidden="1" customHeight="1"/>
    <row r="2081" ht="15" hidden="1" customHeight="1"/>
    <row r="2082" ht="15" hidden="1" customHeight="1"/>
    <row r="2083" ht="15" hidden="1" customHeight="1"/>
    <row r="2084" ht="15" hidden="1" customHeight="1"/>
    <row r="2085" ht="15" hidden="1" customHeight="1"/>
    <row r="2086" ht="15" hidden="1" customHeight="1"/>
    <row r="2087" ht="15" hidden="1" customHeight="1"/>
    <row r="2088" ht="15" hidden="1" customHeight="1"/>
    <row r="2089" ht="15" hidden="1" customHeight="1"/>
    <row r="2090" ht="15" hidden="1" customHeight="1"/>
    <row r="2091" ht="15" hidden="1" customHeight="1"/>
    <row r="2092" ht="15" hidden="1" customHeight="1"/>
    <row r="2093" ht="15" hidden="1" customHeight="1"/>
    <row r="2094" ht="15" hidden="1" customHeight="1"/>
    <row r="2095" ht="15" hidden="1" customHeight="1"/>
    <row r="2096" ht="15" hidden="1" customHeight="1"/>
    <row r="2097" ht="15" hidden="1" customHeight="1"/>
    <row r="2098" ht="15" hidden="1" customHeight="1"/>
  </sheetData>
  <sheetProtection password="C528" sheet="1" selectLockedCells="1"/>
  <mergeCells count="23">
    <mergeCell ref="C28:F28"/>
    <mergeCell ref="C6:V6"/>
    <mergeCell ref="C15:K15"/>
    <mergeCell ref="L15:R15"/>
    <mergeCell ref="S15:V15"/>
    <mergeCell ref="C13:K13"/>
    <mergeCell ref="L13:R13"/>
    <mergeCell ref="S13:V13"/>
    <mergeCell ref="C14:K14"/>
    <mergeCell ref="L14:R14"/>
    <mergeCell ref="C20:F20"/>
    <mergeCell ref="T21:V21"/>
    <mergeCell ref="R20:V20"/>
    <mergeCell ref="C26:J26"/>
    <mergeCell ref="C27:G27"/>
    <mergeCell ref="G20:N21"/>
    <mergeCell ref="S14:V14"/>
    <mergeCell ref="C11:K11"/>
    <mergeCell ref="L11:R11"/>
    <mergeCell ref="S11:V11"/>
    <mergeCell ref="C12:K12"/>
    <mergeCell ref="L12:R12"/>
    <mergeCell ref="S12:V12"/>
  </mergeCells>
  <dataValidations count="1">
    <dataValidation allowBlank="1" showInputMessage="1" showErrorMessage="1" error="Total share among nominees should be equal to 100" sqref="S12:V15"/>
  </dataValidations>
  <pageMargins left="0" right="0" top="0" bottom="0" header="0" footer="0"/>
  <pageSetup paperSize="9" orientation="portrait" r:id="rId1"/>
  <drawing r:id="rId2"/>
</worksheet>
</file>

<file path=xl/worksheets/sheet7.xml><?xml version="1.0" encoding="utf-8"?>
<worksheet xmlns="http://schemas.openxmlformats.org/spreadsheetml/2006/main" xmlns:r="http://schemas.openxmlformats.org/officeDocument/2006/relationships">
  <sheetPr codeName="Sheet9"/>
  <dimension ref="C1:AH2111"/>
  <sheetViews>
    <sheetView showGridLines="0" showRowColHeaders="0" workbookViewId="0">
      <selection activeCell="C1" sqref="C1"/>
    </sheetView>
  </sheetViews>
  <sheetFormatPr defaultColWidth="0" defaultRowHeight="15" customHeight="1" zeroHeight="1"/>
  <cols>
    <col min="1" max="36" width="2.7109375" style="106" customWidth="1"/>
    <col min="37" max="16384" width="0" style="106" hidden="1"/>
  </cols>
  <sheetData>
    <row r="1" spans="3:34"/>
    <row r="2" spans="3:34"/>
    <row r="3" spans="3:34"/>
    <row r="4" spans="3:34"/>
    <row r="5" spans="3:34" ht="21">
      <c r="M5" s="28"/>
      <c r="N5" s="28"/>
      <c r="O5" s="29"/>
      <c r="P5" s="30"/>
      <c r="Q5" s="30"/>
      <c r="R5" s="30"/>
      <c r="S5" s="30"/>
      <c r="T5" s="30"/>
      <c r="U5" s="30"/>
      <c r="V5" s="30"/>
      <c r="W5" s="30"/>
      <c r="X5" s="30"/>
      <c r="Y5" s="30"/>
      <c r="Z5" s="30"/>
      <c r="AA5" s="30"/>
      <c r="AD5" s="30"/>
      <c r="AE5" s="30"/>
      <c r="AF5" s="30"/>
      <c r="AG5" s="30"/>
    </row>
    <row r="6" spans="3:34" ht="20.100000000000001" customHeight="1">
      <c r="R6" s="31" t="s">
        <v>79</v>
      </c>
    </row>
    <row r="7" spans="3:34"/>
    <row r="8" spans="3:34">
      <c r="C8" s="32"/>
      <c r="D8" s="17"/>
      <c r="E8" s="17"/>
      <c r="F8" s="17"/>
      <c r="G8" s="17"/>
      <c r="H8" s="17"/>
      <c r="I8" s="17"/>
      <c r="J8" s="17"/>
      <c r="K8" s="17"/>
      <c r="L8" s="17"/>
      <c r="M8" s="17"/>
      <c r="N8" s="17"/>
      <c r="O8" s="17"/>
      <c r="P8" s="17"/>
      <c r="Q8" s="17"/>
      <c r="R8" s="17"/>
      <c r="S8" s="17"/>
      <c r="T8" s="17"/>
      <c r="U8" s="17"/>
      <c r="V8" s="32"/>
      <c r="W8" s="17"/>
      <c r="X8" s="17"/>
      <c r="Y8" s="17"/>
      <c r="Z8" s="17"/>
      <c r="AA8" s="17"/>
      <c r="AB8" s="17"/>
      <c r="AC8" s="17"/>
      <c r="AD8" s="17"/>
      <c r="AE8" s="17"/>
      <c r="AF8" s="17"/>
      <c r="AG8" s="17"/>
      <c r="AH8" s="18"/>
    </row>
    <row r="9" spans="3:34">
      <c r="C9" s="33"/>
      <c r="D9" s="13"/>
      <c r="E9" s="13"/>
      <c r="F9" s="13"/>
      <c r="G9" s="13"/>
      <c r="H9" s="13"/>
      <c r="I9" s="13"/>
      <c r="J9" s="13"/>
      <c r="K9" s="13"/>
      <c r="L9" s="13"/>
      <c r="M9" s="13"/>
      <c r="N9" s="13"/>
      <c r="O9" s="13"/>
      <c r="P9" s="13"/>
      <c r="Q9" s="13"/>
      <c r="R9" s="13"/>
      <c r="S9" s="13"/>
      <c r="T9" s="13"/>
      <c r="U9" s="13"/>
      <c r="V9" s="33"/>
      <c r="W9" s="13"/>
      <c r="X9" s="13"/>
      <c r="Y9" s="13"/>
      <c r="Z9" s="13"/>
      <c r="AA9" s="13"/>
      <c r="AB9" s="13"/>
      <c r="AC9" s="13"/>
      <c r="AD9" s="13"/>
      <c r="AE9" s="13"/>
      <c r="AF9" s="13"/>
      <c r="AG9" s="13"/>
      <c r="AH9" s="34"/>
    </row>
    <row r="10" spans="3:34">
      <c r="C10" s="33"/>
      <c r="D10" s="13"/>
      <c r="E10" s="13"/>
      <c r="F10" s="13"/>
      <c r="G10" s="13"/>
      <c r="H10" s="13"/>
      <c r="I10" s="13"/>
      <c r="J10" s="13"/>
      <c r="K10" s="13"/>
      <c r="L10" s="13"/>
      <c r="M10" s="13"/>
      <c r="N10" s="13"/>
      <c r="O10" s="13"/>
      <c r="P10" s="13"/>
      <c r="Q10" s="13"/>
      <c r="R10" s="13"/>
      <c r="S10" s="13"/>
      <c r="T10" s="13"/>
      <c r="U10" s="13"/>
      <c r="V10" s="33"/>
      <c r="W10" s="13"/>
      <c r="X10" s="13"/>
      <c r="AH10" s="34"/>
    </row>
    <row r="11" spans="3:34" ht="15" customHeight="1">
      <c r="C11" s="33"/>
      <c r="D11" s="13"/>
      <c r="E11" s="13"/>
      <c r="F11" s="13"/>
      <c r="G11" s="13"/>
      <c r="H11" s="13"/>
      <c r="I11" s="13"/>
      <c r="J11" s="13"/>
      <c r="K11" s="13"/>
      <c r="L11" s="13"/>
      <c r="M11" s="13"/>
      <c r="N11" s="13"/>
      <c r="O11" s="13"/>
      <c r="P11" s="13"/>
      <c r="Q11" s="13"/>
      <c r="R11" s="13"/>
      <c r="S11" s="13"/>
      <c r="T11" s="13"/>
      <c r="U11" s="13"/>
      <c r="V11" s="33"/>
      <c r="W11" s="13"/>
      <c r="X11" s="13"/>
      <c r="Z11" s="601" t="s">
        <v>985</v>
      </c>
      <c r="AA11" s="601"/>
      <c r="AB11" s="601"/>
      <c r="AC11" s="601"/>
      <c r="AD11" s="601"/>
      <c r="AE11" s="185"/>
      <c r="AH11" s="34"/>
    </row>
    <row r="12" spans="3:34">
      <c r="C12" s="33"/>
      <c r="D12" s="13"/>
      <c r="E12" s="13"/>
      <c r="F12" s="13"/>
      <c r="G12" s="13"/>
      <c r="H12" s="13"/>
      <c r="I12" s="13"/>
      <c r="J12" s="13"/>
      <c r="K12" s="13"/>
      <c r="L12" s="13"/>
      <c r="M12" s="13"/>
      <c r="N12" s="13"/>
      <c r="O12" s="13"/>
      <c r="P12" s="13"/>
      <c r="Q12" s="13"/>
      <c r="R12" s="13"/>
      <c r="S12" s="13"/>
      <c r="T12" s="13"/>
      <c r="U12" s="13"/>
      <c r="V12" s="33"/>
      <c r="W12" s="13"/>
      <c r="X12" s="13"/>
      <c r="Z12" s="601"/>
      <c r="AA12" s="601"/>
      <c r="AB12" s="601"/>
      <c r="AC12" s="601"/>
      <c r="AD12" s="601"/>
      <c r="AE12" s="185"/>
      <c r="AH12" s="34"/>
    </row>
    <row r="13" spans="3:34">
      <c r="C13" s="33"/>
      <c r="D13" s="13"/>
      <c r="E13" s="13"/>
      <c r="F13" s="13"/>
      <c r="G13" s="13"/>
      <c r="H13" s="13"/>
      <c r="I13" s="13"/>
      <c r="J13" s="13"/>
      <c r="K13" s="13"/>
      <c r="L13" s="13"/>
      <c r="M13" s="13"/>
      <c r="N13" s="13"/>
      <c r="O13" s="13"/>
      <c r="P13" s="13"/>
      <c r="Q13" s="13"/>
      <c r="R13" s="13"/>
      <c r="S13" s="13"/>
      <c r="T13" s="13"/>
      <c r="U13" s="13"/>
      <c r="V13" s="33"/>
      <c r="W13" s="13"/>
      <c r="X13" s="13"/>
      <c r="Z13" s="601"/>
      <c r="AA13" s="601"/>
      <c r="AB13" s="601"/>
      <c r="AC13" s="601"/>
      <c r="AD13" s="601"/>
      <c r="AE13" s="185"/>
      <c r="AH13" s="34"/>
    </row>
    <row r="14" spans="3:34">
      <c r="C14" s="33"/>
      <c r="D14" s="13"/>
      <c r="E14" s="13"/>
      <c r="F14" s="13"/>
      <c r="G14" s="13"/>
      <c r="H14" s="13"/>
      <c r="I14" s="13"/>
      <c r="J14" s="13"/>
      <c r="K14" s="13"/>
      <c r="L14" s="13"/>
      <c r="M14" s="13"/>
      <c r="N14" s="13"/>
      <c r="O14" s="13"/>
      <c r="P14" s="13"/>
      <c r="Q14" s="13"/>
      <c r="R14" s="13"/>
      <c r="S14" s="13"/>
      <c r="T14" s="13"/>
      <c r="U14" s="13"/>
      <c r="V14" s="33"/>
      <c r="W14" s="13"/>
      <c r="X14" s="13"/>
      <c r="Z14" s="601"/>
      <c r="AA14" s="601"/>
      <c r="AB14" s="601"/>
      <c r="AC14" s="601"/>
      <c r="AD14" s="601"/>
      <c r="AE14" s="185"/>
      <c r="AH14" s="34"/>
    </row>
    <row r="15" spans="3:34">
      <c r="C15" s="33"/>
      <c r="D15" s="13"/>
      <c r="E15" s="13"/>
      <c r="F15" s="13"/>
      <c r="G15" s="13"/>
      <c r="H15" s="13"/>
      <c r="I15" s="13"/>
      <c r="J15" s="13"/>
      <c r="K15" s="13"/>
      <c r="L15" s="13"/>
      <c r="M15" s="13"/>
      <c r="N15" s="13"/>
      <c r="O15" s="13"/>
      <c r="P15" s="13"/>
      <c r="Q15" s="13"/>
      <c r="R15" s="13"/>
      <c r="S15" s="13"/>
      <c r="T15" s="13"/>
      <c r="U15" s="13"/>
      <c r="V15" s="33"/>
      <c r="W15" s="13"/>
      <c r="X15" s="13"/>
      <c r="Z15" s="185"/>
      <c r="AA15" s="185"/>
      <c r="AB15" s="185"/>
      <c r="AC15" s="185"/>
      <c r="AD15" s="185"/>
      <c r="AE15" s="185"/>
      <c r="AH15" s="34"/>
    </row>
    <row r="16" spans="3:34">
      <c r="C16" s="33"/>
      <c r="D16" s="13"/>
      <c r="E16" s="13"/>
      <c r="F16" s="13"/>
      <c r="G16" s="13"/>
      <c r="H16" s="13"/>
      <c r="I16" s="13"/>
      <c r="J16" s="13"/>
      <c r="K16" s="13"/>
      <c r="L16" s="13"/>
      <c r="M16" s="13"/>
      <c r="N16" s="13"/>
      <c r="O16" s="13"/>
      <c r="P16" s="13"/>
      <c r="Q16" s="13"/>
      <c r="R16" s="13"/>
      <c r="S16" s="13"/>
      <c r="T16" s="13"/>
      <c r="U16" s="13"/>
      <c r="V16" s="33"/>
      <c r="W16" s="13"/>
      <c r="X16" s="13"/>
      <c r="AH16" s="34"/>
    </row>
    <row r="17" spans="3:34" ht="15.75">
      <c r="C17" s="33"/>
      <c r="D17" s="13"/>
      <c r="E17" s="13"/>
      <c r="F17" s="35"/>
      <c r="G17" s="36"/>
      <c r="H17" s="36"/>
      <c r="I17" s="13"/>
      <c r="J17" s="13"/>
      <c r="K17" s="13"/>
      <c r="L17" s="13"/>
      <c r="M17" s="13"/>
      <c r="N17" s="13"/>
      <c r="O17" s="13"/>
      <c r="P17" s="13"/>
      <c r="Q17" s="13"/>
      <c r="R17" s="13"/>
      <c r="S17" s="13"/>
      <c r="T17" s="13"/>
      <c r="U17" s="13"/>
      <c r="V17" s="33"/>
      <c r="W17" s="13"/>
      <c r="X17" s="13"/>
      <c r="Y17" s="13"/>
      <c r="Z17" s="13"/>
      <c r="AA17" s="13"/>
      <c r="AB17" s="13"/>
      <c r="AC17" s="13"/>
      <c r="AD17" s="13"/>
      <c r="AE17" s="13"/>
      <c r="AF17" s="13"/>
      <c r="AG17" s="13"/>
      <c r="AH17" s="34"/>
    </row>
    <row r="18" spans="3:34">
      <c r="C18" s="33"/>
      <c r="D18" s="13"/>
      <c r="E18" s="25"/>
      <c r="F18" s="35" t="s">
        <v>80</v>
      </c>
      <c r="G18" s="25"/>
      <c r="H18" s="25"/>
      <c r="I18" s="25"/>
      <c r="J18" s="25"/>
      <c r="K18" s="25"/>
      <c r="L18" s="25"/>
      <c r="M18" s="25"/>
      <c r="N18" s="25"/>
      <c r="O18" s="25"/>
      <c r="P18" s="25"/>
      <c r="Q18" s="25"/>
      <c r="R18" s="25"/>
      <c r="S18" s="25"/>
      <c r="T18" s="25"/>
      <c r="U18" s="25"/>
      <c r="V18" s="37"/>
      <c r="W18" s="25"/>
      <c r="X18" s="25"/>
      <c r="Y18" s="25"/>
      <c r="Z18" s="25"/>
      <c r="AA18" s="25"/>
      <c r="AB18" s="25"/>
      <c r="AC18" s="25"/>
      <c r="AD18" s="25"/>
      <c r="AE18" s="25"/>
      <c r="AF18" s="25"/>
      <c r="AG18" s="25"/>
      <c r="AH18" s="38"/>
    </row>
    <row r="19" spans="3:34">
      <c r="C19" s="32"/>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8"/>
    </row>
    <row r="20" spans="3:34">
      <c r="C20" s="33"/>
      <c r="D20" s="13"/>
      <c r="E20" s="13"/>
      <c r="F20" s="7" t="s">
        <v>71</v>
      </c>
      <c r="G20" s="13"/>
      <c r="H20" s="13"/>
      <c r="I20" s="13"/>
      <c r="J20" s="13"/>
      <c r="K20" s="13"/>
      <c r="L20" s="13"/>
      <c r="M20" s="445" t="str">
        <f>TRIM(CONCATENATE(IF('Employee Data Form'!S9="","",UPPER('Employee Data Form'!S9))," ",IF('Employee Data Form'!K9="","",UPPER('Employee Data Form'!K9))))</f>
        <v>SRIKANTH KOMMULA</v>
      </c>
      <c r="N20" s="445"/>
      <c r="O20" s="445"/>
      <c r="P20" s="445"/>
      <c r="Q20" s="445"/>
      <c r="R20" s="445"/>
      <c r="S20" s="445"/>
      <c r="T20" s="445"/>
      <c r="U20" s="445"/>
      <c r="V20" s="445"/>
      <c r="W20" s="445"/>
      <c r="X20" s="445"/>
      <c r="Y20" s="445"/>
      <c r="Z20" s="445"/>
      <c r="AA20" s="445"/>
      <c r="AB20" s="445"/>
      <c r="AC20" s="445"/>
      <c r="AD20" s="445"/>
      <c r="AE20" s="445"/>
      <c r="AF20" s="445"/>
      <c r="AG20" s="13"/>
      <c r="AH20" s="34"/>
    </row>
    <row r="21" spans="3:34">
      <c r="C21" s="33"/>
      <c r="D21" s="13"/>
      <c r="E21" s="13"/>
      <c r="F21" s="7"/>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34"/>
    </row>
    <row r="22" spans="3:34">
      <c r="C22" s="33"/>
      <c r="D22" s="13"/>
      <c r="E22" s="13"/>
      <c r="F22" s="7" t="s">
        <v>230</v>
      </c>
      <c r="G22" s="13"/>
      <c r="H22" s="13"/>
      <c r="I22" s="13"/>
      <c r="J22" s="13"/>
      <c r="K22" s="13"/>
      <c r="L22" s="13"/>
      <c r="M22" s="25"/>
      <c r="N22" s="25"/>
      <c r="O22" s="25"/>
      <c r="P22" s="25"/>
      <c r="Q22" s="25"/>
      <c r="R22" s="25"/>
      <c r="S22" s="25"/>
      <c r="T22" s="25"/>
      <c r="U22" s="25"/>
      <c r="V22" s="25"/>
      <c r="W22" s="25"/>
      <c r="X22" s="25"/>
      <c r="Y22" s="25"/>
      <c r="Z22" s="25"/>
      <c r="AA22" s="25"/>
      <c r="AB22" s="25"/>
      <c r="AC22" s="25"/>
      <c r="AD22" s="25"/>
      <c r="AE22" s="25"/>
      <c r="AF22" s="25"/>
      <c r="AG22" s="13"/>
      <c r="AH22" s="34"/>
    </row>
    <row r="23" spans="3:34">
      <c r="C23" s="33"/>
      <c r="D23" s="13"/>
      <c r="E23" s="13"/>
      <c r="F23" s="7"/>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34"/>
    </row>
    <row r="24" spans="3:34">
      <c r="C24" s="33"/>
      <c r="D24" s="13"/>
      <c r="E24" s="13"/>
      <c r="F24" s="7" t="s">
        <v>231</v>
      </c>
      <c r="G24" s="13"/>
      <c r="H24" s="13"/>
      <c r="I24" s="13"/>
      <c r="J24" s="13"/>
      <c r="K24" s="13"/>
      <c r="L24" s="13"/>
      <c r="M24" s="445" t="str">
        <f>IF('Employee Data Form'!Z22="","",UPPER('Employee Data Form'!Z22))</f>
        <v>B POSITIVE       (B+)</v>
      </c>
      <c r="N24" s="445"/>
      <c r="O24" s="445"/>
      <c r="P24" s="445"/>
      <c r="Q24" s="445"/>
      <c r="R24" s="445"/>
      <c r="S24" s="445"/>
      <c r="T24" s="445"/>
      <c r="U24" s="445"/>
      <c r="V24" s="445"/>
      <c r="W24" s="445"/>
      <c r="X24" s="445"/>
      <c r="Y24" s="445"/>
      <c r="Z24" s="445"/>
      <c r="AA24" s="445"/>
      <c r="AB24" s="445"/>
      <c r="AC24" s="445"/>
      <c r="AD24" s="445"/>
      <c r="AE24" s="445"/>
      <c r="AF24" s="445"/>
      <c r="AG24" s="13"/>
      <c r="AH24" s="34"/>
    </row>
    <row r="25" spans="3:34">
      <c r="C25" s="3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34"/>
    </row>
    <row r="26" spans="3:34">
      <c r="C26" s="33"/>
      <c r="D26" s="13"/>
      <c r="E26" s="25"/>
      <c r="F26" s="25"/>
      <c r="G26" s="25"/>
      <c r="H26" s="25"/>
      <c r="I26" s="25"/>
      <c r="J26" s="25"/>
      <c r="K26" s="25"/>
      <c r="L26" s="25"/>
      <c r="M26" s="25"/>
      <c r="N26" s="25"/>
      <c r="O26" s="25"/>
      <c r="P26" s="25"/>
      <c r="Q26" s="25"/>
      <c r="R26" s="111"/>
      <c r="S26" s="25"/>
      <c r="T26" s="25"/>
      <c r="U26" s="25"/>
      <c r="V26" s="25"/>
      <c r="W26" s="25"/>
      <c r="X26" s="25"/>
      <c r="Y26" s="25"/>
      <c r="Z26" s="25"/>
      <c r="AA26" s="25"/>
      <c r="AB26" s="25"/>
      <c r="AC26" s="25"/>
      <c r="AD26" s="25"/>
      <c r="AE26" s="25"/>
      <c r="AF26" s="25"/>
      <c r="AG26" s="25"/>
      <c r="AH26" s="38"/>
    </row>
    <row r="27" spans="3:34">
      <c r="C27" s="17"/>
      <c r="D27" s="17"/>
    </row>
    <row r="28" spans="3:34">
      <c r="R28" s="106">
        <v>14</v>
      </c>
    </row>
    <row r="29" spans="3:34"/>
    <row r="30" spans="3:34" hidden="1"/>
    <row r="31" spans="3:34" hidden="1"/>
    <row r="32" spans="3:34" hidden="1"/>
    <row r="33" spans="18:18" hidden="1"/>
    <row r="34" spans="18:18" hidden="1"/>
    <row r="35" spans="18:18" hidden="1"/>
    <row r="36" spans="18:18" hidden="1"/>
    <row r="37" spans="18:18" hidden="1"/>
    <row r="38" spans="18:18" hidden="1"/>
    <row r="39" spans="18:18" hidden="1"/>
    <row r="40" spans="18:18" hidden="1"/>
    <row r="41" spans="18:18" hidden="1"/>
    <row r="42" spans="18:18" hidden="1"/>
    <row r="43" spans="18:18" hidden="1"/>
    <row r="44" spans="18:18" hidden="1"/>
    <row r="45" spans="18:18" hidden="1">
      <c r="R45" s="152"/>
    </row>
    <row r="46" spans="18:18" hidden="1"/>
    <row r="47" spans="18:18" hidden="1"/>
    <row r="48" spans="18:18" hidden="1"/>
    <row r="49" hidden="1"/>
    <row r="50" hidden="1"/>
    <row r="51" hidden="1"/>
    <row r="52" ht="20.100000000000001" hidden="1" customHeight="1"/>
    <row r="53" hidden="1"/>
    <row r="54" hidden="1"/>
    <row r="55" hidden="1"/>
    <row r="56" hidden="1"/>
    <row r="57" hidden="1"/>
    <row r="58" hidden="1"/>
    <row r="59" hidden="1"/>
    <row r="60" hidden="1"/>
    <row r="61" hidden="1"/>
    <row r="62" hidden="1"/>
    <row r="63" hidden="1"/>
    <row r="64" hidden="1"/>
    <row r="65" hidden="1"/>
    <row r="66" hidden="1"/>
    <row r="67" ht="14.25" hidden="1" customHeight="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8" ht="20.100000000000001" hidden="1" customHeight="1"/>
    <row r="109" ht="20.100000000000001" hidden="1" customHeight="1"/>
    <row r="157" hidden="1"/>
    <row r="158" hidden="1"/>
    <row r="159" hidden="1"/>
    <row r="160" hidden="1"/>
    <row r="161" hidden="1"/>
    <row r="162" hidden="1"/>
    <row r="163" ht="20.100000000000001" hidden="1" customHeight="1"/>
    <row r="164" ht="20.100000000000001" hidden="1" customHeight="1"/>
    <row r="179" ht="30" hidden="1" customHeight="1"/>
    <row r="181" ht="30" hidden="1" customHeight="1"/>
    <row r="184" ht="30" hidden="1" customHeight="1"/>
    <row r="189" ht="30" hidden="1" customHeight="1"/>
    <row r="192" ht="30" hidden="1" customHeight="1"/>
    <row r="208" hidden="1"/>
    <row r="209" hidden="1"/>
    <row r="210" hidden="1"/>
    <row r="263" hidden="1"/>
    <row r="264" hidden="1"/>
    <row r="265" hidden="1"/>
    <row r="266" hidden="1"/>
    <row r="267" hidden="1"/>
    <row r="268" hidden="1"/>
    <row r="269" ht="20.100000000000001" hidden="1" customHeight="1"/>
    <row r="270" ht="12.75" hidden="1" customHeight="1"/>
    <row r="271" hidden="1"/>
    <row r="272" hidden="1"/>
    <row r="273" ht="12.75" hidden="1" customHeight="1"/>
    <row r="274" ht="13.5" hidden="1" customHeight="1"/>
    <row r="275" hidden="1"/>
    <row r="276" ht="13.5" hidden="1" customHeight="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t="20.100000000000001" hidden="1" customHeight="1"/>
    <row r="357" hidden="1"/>
    <row r="358" hidden="1"/>
    <row r="359" hidden="1"/>
    <row r="360" hidden="1"/>
    <row r="361" ht="30" hidden="1" customHeight="1"/>
    <row r="362" ht="30" hidden="1" customHeight="1"/>
    <row r="363" hidden="1"/>
    <row r="364" ht="30" hidden="1" customHeight="1"/>
    <row r="365" ht="24.95" hidden="1" customHeight="1"/>
    <row r="366" ht="24.95" hidden="1" customHeight="1"/>
    <row r="367" ht="24.95" hidden="1" customHeight="1"/>
    <row r="368" ht="24.95" hidden="1" customHeight="1"/>
    <row r="369" ht="24.95" hidden="1" customHeight="1"/>
    <row r="370" ht="24.95" hidden="1" customHeight="1"/>
    <row r="371" ht="24.95" hidden="1" customHeight="1"/>
    <row r="372" ht="24.95" hidden="1" customHeight="1"/>
    <row r="373" ht="24.95" hidden="1" customHeight="1"/>
    <row r="374" ht="24.95" hidden="1" customHeight="1"/>
    <row r="375" ht="24.95" hidden="1" customHeight="1"/>
    <row r="376" ht="24.95" hidden="1" customHeight="1"/>
    <row r="377" ht="24.95" hidden="1" customHeight="1"/>
    <row r="378" ht="24.95" hidden="1" customHeight="1"/>
    <row r="379" ht="24.95" hidden="1" customHeight="1"/>
    <row r="380" ht="24.95" hidden="1" customHeight="1"/>
    <row r="381" ht="24.95" hidden="1" customHeight="1"/>
    <row r="382" ht="24.95" hidden="1" customHeight="1"/>
    <row r="383" ht="24.95" hidden="1" customHeight="1"/>
    <row r="384" ht="24.95" hidden="1" customHeight="1"/>
    <row r="385" ht="24.95" hidden="1" customHeight="1"/>
    <row r="386" hidden="1"/>
    <row r="387" hidden="1"/>
    <row r="388" hidden="1"/>
    <row r="389" hidden="1"/>
    <row r="390" hidden="1"/>
    <row r="391" hidden="1"/>
    <row r="392" hidden="1"/>
    <row r="393" hidden="1"/>
    <row r="394"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2107" ht="15" customHeight="1"/>
    <row r="2108" ht="15" customHeight="1"/>
    <row r="2109" ht="15" customHeight="1"/>
    <row r="2110" ht="15" customHeight="1"/>
    <row r="2111" ht="15" customHeight="1"/>
  </sheetData>
  <sheetProtection password="C528" sheet="1" selectLockedCells="1"/>
  <mergeCells count="3">
    <mergeCell ref="M20:AF20"/>
    <mergeCell ref="M24:AF24"/>
    <mergeCell ref="Z11:AD14"/>
  </mergeCells>
  <pageMargins left="0" right="0" top="0" bottom="0" header="0" footer="0"/>
  <pageSetup paperSize="9" orientation="portrait" r:id="rId1"/>
  <drawing r:id="rId2"/>
</worksheet>
</file>

<file path=xl/worksheets/sheet8.xml><?xml version="1.0" encoding="utf-8"?>
<worksheet xmlns="http://schemas.openxmlformats.org/spreadsheetml/2006/main" xmlns:r="http://schemas.openxmlformats.org/officeDocument/2006/relationships">
  <sheetPr codeName="Sheet11"/>
  <dimension ref="C1:AQ1445"/>
  <sheetViews>
    <sheetView showGridLines="0" showRowColHeaders="0" workbookViewId="0">
      <selection activeCell="C1" sqref="C1"/>
    </sheetView>
  </sheetViews>
  <sheetFormatPr defaultColWidth="0" defaultRowHeight="15" customHeight="1" zeroHeight="1"/>
  <cols>
    <col min="1" max="36" width="2.7109375" style="106" customWidth="1"/>
    <col min="37" max="16384" width="0" style="106" hidden="1"/>
  </cols>
  <sheetData>
    <row r="1" spans="3:43" ht="15" customHeight="1"/>
    <row r="2" spans="3:43" ht="15" customHeight="1"/>
    <row r="3" spans="3:43" ht="15" customHeight="1"/>
    <row r="4" spans="3:43" ht="15" customHeight="1"/>
    <row r="5" spans="3:43" ht="15" customHeight="1"/>
    <row r="6" spans="3:43" ht="15" customHeight="1"/>
    <row r="7" spans="3:43" ht="20.100000000000001" customHeight="1">
      <c r="F7" s="28"/>
      <c r="G7" s="28"/>
      <c r="H7" s="28"/>
      <c r="I7" s="28"/>
      <c r="J7" s="29"/>
      <c r="K7" s="29"/>
      <c r="L7" s="29"/>
      <c r="M7" s="29"/>
      <c r="N7" s="30"/>
      <c r="O7" s="30"/>
      <c r="P7" s="30"/>
      <c r="Q7" s="30"/>
      <c r="R7" s="88" t="s">
        <v>81</v>
      </c>
      <c r="S7" s="30"/>
      <c r="T7" s="30"/>
      <c r="U7" s="30"/>
      <c r="V7" s="30"/>
      <c r="W7" s="30"/>
      <c r="X7" s="30"/>
      <c r="Y7" s="30"/>
      <c r="Z7" s="30"/>
      <c r="AA7" s="30"/>
      <c r="AB7" s="30"/>
      <c r="AC7" s="30"/>
      <c r="AD7" s="30"/>
      <c r="AE7" s="30"/>
      <c r="AF7" s="30"/>
      <c r="AG7" s="65"/>
      <c r="AJ7" s="65"/>
      <c r="AK7" s="65"/>
    </row>
    <row r="8" spans="3:43" ht="20.100000000000001" customHeight="1">
      <c r="F8" s="28"/>
      <c r="G8" s="28"/>
      <c r="H8" s="28"/>
      <c r="I8" s="28"/>
      <c r="J8" s="29"/>
      <c r="K8" s="29"/>
      <c r="L8" s="29"/>
      <c r="M8" s="29"/>
      <c r="N8" s="30"/>
      <c r="O8" s="30"/>
      <c r="P8" s="30"/>
      <c r="Q8" s="30"/>
      <c r="R8" s="88"/>
      <c r="S8" s="30"/>
      <c r="T8" s="30"/>
      <c r="U8" s="30"/>
      <c r="V8" s="30"/>
      <c r="W8" s="30"/>
      <c r="X8" s="30"/>
      <c r="Y8" s="30"/>
      <c r="Z8" s="30"/>
      <c r="AA8" s="30"/>
      <c r="AB8" s="30"/>
      <c r="AC8" s="30"/>
      <c r="AD8" s="30"/>
      <c r="AE8" s="30"/>
      <c r="AF8" s="30"/>
      <c r="AG8" s="65"/>
      <c r="AJ8" s="65"/>
      <c r="AK8" s="65"/>
    </row>
    <row r="9" spans="3:43" ht="15" customHeight="1"/>
    <row r="10" spans="3:43" ht="15" customHeight="1">
      <c r="C10" s="16" t="s">
        <v>82</v>
      </c>
      <c r="F10" s="41"/>
    </row>
    <row r="11" spans="3:43" ht="15" customHeight="1"/>
    <row r="12" spans="3:43" s="6" customFormat="1" ht="15" customHeight="1">
      <c r="C12" s="7" t="s">
        <v>116</v>
      </c>
      <c r="D12" s="7"/>
      <c r="E12" s="7"/>
      <c r="F12" s="7"/>
      <c r="G12" s="7"/>
      <c r="H12" s="7"/>
      <c r="I12" s="7"/>
      <c r="AL12" s="106"/>
      <c r="AM12" s="106"/>
      <c r="AN12" s="106"/>
      <c r="AO12" s="106"/>
      <c r="AP12" s="106"/>
      <c r="AQ12" s="106"/>
    </row>
    <row r="13" spans="3:43" s="6" customFormat="1" ht="15" customHeight="1">
      <c r="C13" s="7" t="s">
        <v>117</v>
      </c>
      <c r="D13" s="7"/>
      <c r="E13" s="7"/>
      <c r="F13" s="7"/>
      <c r="G13" s="7"/>
      <c r="H13" s="7"/>
      <c r="AL13" s="106"/>
      <c r="AM13" s="106"/>
      <c r="AN13" s="106"/>
      <c r="AO13" s="106"/>
      <c r="AP13" s="106"/>
      <c r="AQ13" s="106"/>
    </row>
    <row r="14" spans="3:43" s="6" customFormat="1" ht="15" customHeight="1">
      <c r="C14" s="6" t="s">
        <v>118</v>
      </c>
      <c r="AL14" s="106"/>
      <c r="AM14" s="106"/>
      <c r="AN14" s="106"/>
      <c r="AO14" s="106"/>
      <c r="AP14" s="106"/>
      <c r="AQ14" s="106"/>
    </row>
    <row r="15" spans="3:43" ht="15" customHeight="1"/>
    <row r="16" spans="3:43" ht="15" customHeight="1"/>
    <row r="17" spans="3:43" s="6" customFormat="1" ht="15" customHeight="1">
      <c r="C17" s="6" t="s">
        <v>233</v>
      </c>
      <c r="AL17" s="106"/>
      <c r="AM17" s="106"/>
      <c r="AN17" s="106"/>
      <c r="AO17" s="106"/>
      <c r="AP17" s="106"/>
      <c r="AQ17" s="106"/>
    </row>
    <row r="18" spans="3:43" s="6" customFormat="1" ht="15" customHeight="1">
      <c r="C18" s="6" t="s">
        <v>232</v>
      </c>
      <c r="AL18" s="106"/>
      <c r="AM18" s="106"/>
      <c r="AN18" s="106"/>
      <c r="AO18" s="106"/>
      <c r="AP18" s="106"/>
      <c r="AQ18" s="106"/>
    </row>
    <row r="19" spans="3:43" s="6" customFormat="1" ht="15" customHeight="1">
      <c r="C19" s="6" t="s">
        <v>234</v>
      </c>
      <c r="AL19" s="106"/>
      <c r="AM19" s="106"/>
      <c r="AN19" s="106"/>
      <c r="AO19" s="106"/>
      <c r="AP19" s="106"/>
      <c r="AQ19" s="106"/>
    </row>
    <row r="20" spans="3:43" s="6" customFormat="1" ht="15" customHeight="1">
      <c r="C20" s="6" t="s">
        <v>235</v>
      </c>
      <c r="AL20" s="106"/>
      <c r="AM20" s="106"/>
      <c r="AN20" s="106"/>
      <c r="AO20" s="106"/>
      <c r="AP20" s="106"/>
      <c r="AQ20" s="106"/>
    </row>
    <row r="21" spans="3:43" s="6" customFormat="1" ht="15" customHeight="1">
      <c r="C21" s="6" t="s">
        <v>236</v>
      </c>
      <c r="AL21" s="106"/>
      <c r="AM21" s="106"/>
      <c r="AN21" s="106"/>
      <c r="AO21" s="106"/>
      <c r="AP21" s="106"/>
      <c r="AQ21" s="106"/>
    </row>
    <row r="22" spans="3:43" ht="15" customHeight="1"/>
    <row r="23" spans="3:43" ht="15" customHeight="1"/>
    <row r="24" spans="3:43" s="6" customFormat="1" ht="15" customHeight="1">
      <c r="C24" s="6" t="s">
        <v>119</v>
      </c>
      <c r="AL24" s="106"/>
      <c r="AM24" s="106"/>
      <c r="AN24" s="106"/>
      <c r="AO24" s="106"/>
      <c r="AP24" s="106"/>
      <c r="AQ24" s="106"/>
    </row>
    <row r="25" spans="3:43" s="6" customFormat="1" ht="15" customHeight="1">
      <c r="C25" s="6" t="s">
        <v>237</v>
      </c>
      <c r="AL25" s="106"/>
      <c r="AM25" s="106"/>
      <c r="AN25" s="106"/>
      <c r="AO25" s="106"/>
      <c r="AP25" s="106"/>
      <c r="AQ25" s="106"/>
    </row>
    <row r="26" spans="3:43" s="6" customFormat="1" ht="15" customHeight="1">
      <c r="C26" s="6" t="s">
        <v>120</v>
      </c>
      <c r="AL26" s="106"/>
      <c r="AM26" s="106"/>
      <c r="AN26" s="106"/>
      <c r="AO26" s="106"/>
      <c r="AP26" s="106"/>
      <c r="AQ26" s="106"/>
    </row>
    <row r="27" spans="3:43" s="6" customFormat="1" ht="15" customHeight="1">
      <c r="C27" s="6" t="s">
        <v>238</v>
      </c>
      <c r="AL27" s="106"/>
      <c r="AM27" s="106"/>
      <c r="AN27" s="106"/>
      <c r="AO27" s="106"/>
      <c r="AP27" s="106"/>
      <c r="AQ27" s="106"/>
    </row>
    <row r="28" spans="3:43" s="6" customFormat="1" ht="15" customHeight="1">
      <c r="C28" s="6" t="s">
        <v>239</v>
      </c>
      <c r="AL28" s="106"/>
      <c r="AM28" s="106"/>
      <c r="AN28" s="106"/>
      <c r="AO28" s="106"/>
      <c r="AP28" s="106"/>
      <c r="AQ28" s="106"/>
    </row>
    <row r="29" spans="3:43" s="6" customFormat="1" ht="15" customHeight="1">
      <c r="C29" s="6" t="s">
        <v>240</v>
      </c>
      <c r="AL29" s="106"/>
      <c r="AM29" s="106"/>
      <c r="AN29" s="106"/>
      <c r="AO29" s="106"/>
      <c r="AP29" s="106"/>
      <c r="AQ29" s="106"/>
    </row>
    <row r="30" spans="3:43" ht="15" customHeight="1"/>
    <row r="31" spans="3:43" ht="15" customHeight="1"/>
    <row r="32" spans="3:43" ht="15" customHeight="1"/>
    <row r="33" spans="3:43" s="6" customFormat="1" ht="15" customHeight="1">
      <c r="C33" s="6" t="s">
        <v>74</v>
      </c>
      <c r="L33" s="603">
        <v>8</v>
      </c>
      <c r="M33" s="603"/>
      <c r="N33" s="39"/>
      <c r="O33" s="39"/>
      <c r="P33" s="39"/>
      <c r="Q33" s="39"/>
      <c r="R33" s="39"/>
      <c r="S33" s="39"/>
      <c r="T33" s="39"/>
      <c r="U33" s="39"/>
      <c r="V33" s="39"/>
      <c r="W33" s="39"/>
      <c r="X33" s="39"/>
      <c r="Y33" s="39"/>
      <c r="Z33" s="39"/>
      <c r="AA33" s="39"/>
      <c r="AL33" s="106"/>
      <c r="AM33" s="106"/>
      <c r="AN33" s="106"/>
      <c r="AO33" s="106"/>
      <c r="AP33" s="106"/>
      <c r="AQ33" s="106"/>
    </row>
    <row r="34" spans="3:43" s="6" customFormat="1" ht="15" customHeight="1">
      <c r="AL34" s="106"/>
      <c r="AM34" s="106"/>
      <c r="AN34" s="106"/>
      <c r="AO34" s="106"/>
      <c r="AP34" s="106"/>
      <c r="AQ34" s="106"/>
    </row>
    <row r="35" spans="3:43" s="6" customFormat="1" ht="15" customHeight="1">
      <c r="AL35" s="106"/>
      <c r="AM35" s="106"/>
      <c r="AN35" s="106"/>
      <c r="AO35" s="106"/>
      <c r="AP35" s="106"/>
      <c r="AQ35" s="106"/>
    </row>
    <row r="36" spans="3:43" s="6" customFormat="1" ht="15" customHeight="1">
      <c r="AL36" s="106"/>
      <c r="AM36" s="106"/>
      <c r="AN36" s="106"/>
      <c r="AO36" s="106"/>
      <c r="AP36" s="106"/>
      <c r="AQ36" s="106"/>
    </row>
    <row r="37" spans="3:43" s="6" customFormat="1" ht="15" customHeight="1">
      <c r="AL37" s="106"/>
      <c r="AM37" s="106"/>
      <c r="AN37" s="106"/>
      <c r="AO37" s="106"/>
      <c r="AP37" s="106"/>
      <c r="AQ37" s="106"/>
    </row>
    <row r="38" spans="3:43" s="6" customFormat="1" ht="15" customHeight="1">
      <c r="C38" s="6" t="s">
        <v>83</v>
      </c>
      <c r="M38" s="445" t="str">
        <f>TRIM(CONCATENATE(IF('Employee Data Form'!S9="","",UPPER('Employee Data Form'!S9))," ",IF('Employee Data Form'!K9="","",UPPER('Employee Data Form'!K9))))</f>
        <v>SRIKANTH KOMMULA</v>
      </c>
      <c r="N38" s="445"/>
      <c r="O38" s="445"/>
      <c r="P38" s="445"/>
      <c r="Q38" s="445"/>
      <c r="R38" s="445"/>
      <c r="S38" s="445"/>
      <c r="T38" s="445"/>
      <c r="U38" s="445"/>
      <c r="V38" s="445"/>
      <c r="W38" s="445"/>
      <c r="X38" s="445"/>
      <c r="Y38" s="445"/>
      <c r="Z38" s="445"/>
      <c r="AA38" s="445"/>
      <c r="AL38" s="106"/>
      <c r="AM38" s="106"/>
      <c r="AN38" s="106"/>
      <c r="AO38" s="106"/>
      <c r="AP38" s="106"/>
      <c r="AQ38" s="106"/>
    </row>
    <row r="39" spans="3:43" s="6" customFormat="1" ht="15" customHeight="1">
      <c r="AL39" s="106"/>
      <c r="AM39" s="106"/>
      <c r="AN39" s="106"/>
      <c r="AO39" s="106"/>
      <c r="AP39" s="106"/>
      <c r="AQ39" s="106"/>
    </row>
    <row r="40" spans="3:43" s="6" customFormat="1" ht="15" customHeight="1">
      <c r="AL40" s="106"/>
      <c r="AM40" s="106"/>
      <c r="AN40" s="106"/>
      <c r="AO40" s="106"/>
      <c r="AP40" s="106"/>
      <c r="AQ40" s="106"/>
    </row>
    <row r="41" spans="3:43" s="6" customFormat="1" ht="15" customHeight="1">
      <c r="C41" s="6" t="s">
        <v>84</v>
      </c>
      <c r="M41" s="39"/>
      <c r="N41" s="39"/>
      <c r="O41" s="39"/>
      <c r="P41" s="39"/>
      <c r="Q41" s="39"/>
      <c r="R41" s="39"/>
      <c r="S41" s="39"/>
      <c r="T41" s="39"/>
      <c r="U41" s="39"/>
      <c r="V41" s="39"/>
      <c r="W41" s="39"/>
      <c r="X41" s="39"/>
      <c r="Y41" s="39"/>
      <c r="Z41" s="39"/>
      <c r="AA41" s="39"/>
      <c r="AL41" s="106"/>
      <c r="AM41" s="106"/>
      <c r="AN41" s="106"/>
      <c r="AO41" s="106"/>
      <c r="AP41" s="106"/>
      <c r="AQ41" s="106"/>
    </row>
    <row r="42" spans="3:43" s="6" customFormat="1" ht="15" customHeight="1">
      <c r="AL42" s="106"/>
      <c r="AM42" s="106"/>
      <c r="AN42" s="106"/>
      <c r="AO42" s="106"/>
      <c r="AP42" s="106"/>
      <c r="AQ42" s="106"/>
    </row>
    <row r="43" spans="3:43" s="6" customFormat="1" ht="15" customHeight="1">
      <c r="AL43" s="106"/>
      <c r="AM43" s="106"/>
      <c r="AN43" s="106"/>
      <c r="AO43" s="106"/>
      <c r="AP43" s="106"/>
      <c r="AQ43" s="106"/>
    </row>
    <row r="44" spans="3:43" s="6" customFormat="1" ht="15" customHeight="1">
      <c r="C44" s="6" t="s">
        <v>241</v>
      </c>
      <c r="M44" s="445"/>
      <c r="N44" s="445"/>
      <c r="O44" s="445"/>
      <c r="P44" s="445"/>
      <c r="Q44" s="445"/>
      <c r="R44" s="445"/>
      <c r="S44" s="445"/>
      <c r="T44" s="445"/>
      <c r="U44" s="445"/>
      <c r="V44" s="445"/>
      <c r="W44" s="445"/>
      <c r="X44" s="445"/>
      <c r="Y44" s="445"/>
      <c r="Z44" s="445"/>
      <c r="AA44" s="445"/>
      <c r="AL44" s="106"/>
      <c r="AM44" s="106"/>
      <c r="AN44" s="106"/>
      <c r="AO44" s="106"/>
      <c r="AP44" s="106"/>
      <c r="AQ44" s="106"/>
    </row>
    <row r="45" spans="3:43" s="6" customFormat="1" ht="15" customHeight="1">
      <c r="AL45" s="106"/>
      <c r="AM45" s="106"/>
      <c r="AN45" s="106"/>
      <c r="AO45" s="106"/>
      <c r="AP45" s="106"/>
      <c r="AQ45" s="106"/>
    </row>
    <row r="46" spans="3:43" s="6" customFormat="1" ht="15" customHeight="1">
      <c r="AL46" s="106"/>
      <c r="AM46" s="106"/>
      <c r="AN46" s="106"/>
      <c r="AO46" s="106"/>
      <c r="AP46" s="106"/>
      <c r="AQ46" s="106"/>
    </row>
    <row r="47" spans="3:43" s="6" customFormat="1" ht="15" customHeight="1">
      <c r="C47" s="6" t="s">
        <v>121</v>
      </c>
      <c r="M47" s="445"/>
      <c r="N47" s="445"/>
      <c r="O47" s="445"/>
      <c r="P47" s="445"/>
      <c r="Q47" s="445"/>
      <c r="R47" s="445"/>
      <c r="S47" s="445"/>
      <c r="T47" s="445"/>
      <c r="U47" s="445"/>
      <c r="V47" s="445"/>
      <c r="W47" s="445"/>
      <c r="X47" s="445"/>
      <c r="Y47" s="445"/>
      <c r="Z47" s="445"/>
      <c r="AA47" s="445"/>
      <c r="AL47" s="106"/>
      <c r="AM47" s="106"/>
      <c r="AN47" s="106"/>
      <c r="AO47" s="106"/>
      <c r="AP47" s="106"/>
      <c r="AQ47" s="106"/>
    </row>
    <row r="48" spans="3:43" s="6" customFormat="1" ht="15" customHeight="1">
      <c r="AL48" s="106"/>
      <c r="AM48" s="106"/>
      <c r="AN48" s="106"/>
      <c r="AO48" s="106"/>
      <c r="AP48" s="106"/>
      <c r="AQ48" s="106"/>
    </row>
    <row r="49" spans="3:43" s="6" customFormat="1" ht="15" customHeight="1">
      <c r="AL49" s="106"/>
      <c r="AM49" s="106"/>
      <c r="AN49" s="106"/>
      <c r="AO49" s="106"/>
      <c r="AP49" s="106"/>
      <c r="AQ49" s="106"/>
    </row>
    <row r="50" spans="3:43" s="6" customFormat="1" ht="15" customHeight="1">
      <c r="AL50" s="106"/>
      <c r="AM50" s="106"/>
      <c r="AN50" s="106"/>
      <c r="AO50" s="106"/>
      <c r="AP50" s="106"/>
      <c r="AQ50" s="106"/>
    </row>
    <row r="51" spans="3:43" s="6" customFormat="1" ht="15" customHeight="1">
      <c r="C51" s="6" t="s">
        <v>85</v>
      </c>
      <c r="E51" s="602" t="str">
        <f ca="1">'Employee Data Form'!$H$218</f>
        <v>30-NOV-2022</v>
      </c>
      <c r="F51" s="602"/>
      <c r="G51" s="602"/>
      <c r="H51" s="602"/>
      <c r="I51" s="602"/>
      <c r="J51" s="602"/>
      <c r="K51" s="602"/>
      <c r="L51" s="602"/>
      <c r="M51" s="602"/>
      <c r="N51" s="602"/>
      <c r="O51" s="602"/>
      <c r="P51" s="602"/>
      <c r="Q51" s="602"/>
      <c r="R51" s="602"/>
      <c r="AL51" s="106"/>
      <c r="AM51" s="106"/>
      <c r="AN51" s="106"/>
      <c r="AO51" s="106"/>
      <c r="AP51" s="106"/>
      <c r="AQ51" s="106"/>
    </row>
    <row r="52" spans="3:43" s="6" customFormat="1" ht="15" customHeight="1">
      <c r="AL52" s="106"/>
      <c r="AM52" s="106"/>
      <c r="AN52" s="106"/>
      <c r="AO52" s="106"/>
      <c r="AP52" s="106"/>
      <c r="AQ52" s="106"/>
    </row>
    <row r="53" spans="3:43" s="6" customFormat="1" ht="15" customHeight="1">
      <c r="AL53" s="106"/>
      <c r="AM53" s="106"/>
      <c r="AN53" s="106"/>
      <c r="AO53" s="106"/>
      <c r="AP53" s="106"/>
      <c r="AQ53" s="106"/>
    </row>
    <row r="54" spans="3:43" ht="15" customHeight="1">
      <c r="R54" s="20">
        <v>15</v>
      </c>
    </row>
    <row r="55" spans="3:43" ht="15" customHeight="1"/>
    <row r="56" spans="3:43" hidden="1"/>
    <row r="57" spans="3:43" hidden="1"/>
    <row r="58" spans="3:43" hidden="1"/>
    <row r="59" spans="3:43" hidden="1"/>
    <row r="60" spans="3:43" hidden="1"/>
    <row r="61" spans="3:43" hidden="1"/>
    <row r="62" spans="3:43" ht="20.100000000000001" hidden="1" customHeight="1"/>
    <row r="63" spans="3:43" ht="20.100000000000001" hidden="1" customHeight="1"/>
    <row r="78" ht="30" hidden="1" customHeight="1"/>
    <row r="80" ht="30" hidden="1" customHeight="1"/>
    <row r="83" ht="30" hidden="1" customHeight="1"/>
    <row r="88" ht="30" hidden="1" customHeight="1"/>
    <row r="91" ht="30" hidden="1" customHeight="1"/>
    <row r="107" hidden="1"/>
    <row r="108" hidden="1"/>
    <row r="109" hidden="1"/>
    <row r="162" hidden="1"/>
    <row r="163" hidden="1"/>
    <row r="164" hidden="1"/>
    <row r="165" hidden="1"/>
    <row r="166" hidden="1"/>
    <row r="167" hidden="1"/>
    <row r="168" ht="20.100000000000001" hidden="1" customHeight="1"/>
    <row r="169" ht="12.75" hidden="1" customHeight="1"/>
    <row r="170" hidden="1"/>
    <row r="171" hidden="1"/>
    <row r="172" ht="12.75" hidden="1" customHeight="1"/>
    <row r="173" ht="13.5" hidden="1" customHeight="1"/>
    <row r="174" hidden="1"/>
    <row r="175" ht="13.5" hidden="1" customHeight="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t="20.100000000000001" hidden="1" customHeight="1"/>
    <row r="256" hidden="1"/>
    <row r="257" hidden="1"/>
    <row r="258" hidden="1"/>
    <row r="259" hidden="1"/>
    <row r="260" ht="30" hidden="1" customHeight="1"/>
    <row r="261" ht="30" hidden="1" customHeight="1"/>
    <row r="262" hidden="1"/>
    <row r="263" ht="30" hidden="1" customHeight="1"/>
    <row r="264" ht="24.95" hidden="1" customHeight="1"/>
    <row r="265" ht="24.95" hidden="1" customHeight="1"/>
    <row r="266" ht="24.95" hidden="1" customHeight="1"/>
    <row r="267" ht="24.95" hidden="1" customHeight="1"/>
    <row r="268" ht="24.95" hidden="1" customHeight="1"/>
    <row r="269" ht="24.95" hidden="1" customHeight="1"/>
    <row r="270" ht="24.95" hidden="1" customHeight="1"/>
    <row r="271" ht="24.95" hidden="1" customHeight="1"/>
    <row r="272" ht="24.95" hidden="1" customHeight="1"/>
    <row r="273" ht="24.95" hidden="1" customHeight="1"/>
    <row r="274" ht="24.95" hidden="1" customHeight="1"/>
    <row r="275" ht="24.95" hidden="1" customHeight="1"/>
    <row r="276" ht="24.95" hidden="1" customHeight="1"/>
    <row r="277" ht="24.95" hidden="1" customHeight="1"/>
    <row r="278" ht="24.95" hidden="1" customHeight="1"/>
    <row r="279" ht="24.95" hidden="1" customHeight="1"/>
    <row r="280" ht="24.95" hidden="1" customHeight="1"/>
    <row r="281" ht="24.95" hidden="1" customHeight="1"/>
    <row r="282" ht="24.95" hidden="1" customHeight="1"/>
    <row r="283" ht="24.95" hidden="1" customHeight="1"/>
    <row r="284" ht="24.95" hidden="1" customHeight="1"/>
    <row r="285" hidden="1"/>
    <row r="286" hidden="1"/>
    <row r="287" hidden="1"/>
    <row r="288" hidden="1"/>
    <row r="289" hidden="1"/>
    <row r="290" hidden="1"/>
    <row r="291" hidden="1"/>
    <row r="292" hidden="1"/>
    <row r="293"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sheetData>
  <sheetProtection password="C528" sheet="1" selectLockedCells="1"/>
  <mergeCells count="5">
    <mergeCell ref="E51:R51"/>
    <mergeCell ref="M38:AA38"/>
    <mergeCell ref="M44:AA44"/>
    <mergeCell ref="M47:AA47"/>
    <mergeCell ref="L33:M33"/>
  </mergeCells>
  <pageMargins left="0" right="0" top="0" bottom="0" header="0" footer="0"/>
  <pageSetup paperSize="9" orientation="portrait" r:id="rId1"/>
  <drawing r:id="rId2"/>
</worksheet>
</file>

<file path=xl/worksheets/sheet9.xml><?xml version="1.0" encoding="utf-8"?>
<worksheet xmlns="http://schemas.openxmlformats.org/spreadsheetml/2006/main" xmlns:r="http://schemas.openxmlformats.org/officeDocument/2006/relationships">
  <sheetPr codeName="Sheet12"/>
  <dimension ref="C1:AQ39"/>
  <sheetViews>
    <sheetView showGridLines="0" showRowColHeaders="0" workbookViewId="0">
      <selection activeCell="C1" sqref="C1"/>
    </sheetView>
  </sheetViews>
  <sheetFormatPr defaultColWidth="0" defaultRowHeight="15" customHeight="1" zeroHeight="1"/>
  <cols>
    <col min="1" max="36" width="2.7109375" style="106" customWidth="1"/>
    <col min="37" max="16384" width="0" style="106" hidden="1"/>
  </cols>
  <sheetData>
    <row r="1" spans="3:43"/>
    <row r="2" spans="3:43"/>
    <row r="3" spans="3:43"/>
    <row r="4" spans="3:43"/>
    <row r="5" spans="3:43"/>
    <row r="6" spans="3:43"/>
    <row r="7" spans="3:43" ht="20.100000000000001" customHeight="1">
      <c r="C7" s="28" t="s">
        <v>941</v>
      </c>
      <c r="D7" s="28"/>
      <c r="E7" s="28"/>
      <c r="F7" s="28"/>
      <c r="G7" s="29"/>
      <c r="H7" s="29"/>
      <c r="I7" s="29"/>
      <c r="J7" s="30"/>
      <c r="K7" s="30"/>
      <c r="L7" s="30"/>
      <c r="M7" s="30"/>
      <c r="N7" s="30"/>
      <c r="O7" s="30"/>
      <c r="P7" s="30"/>
      <c r="Q7" s="30"/>
      <c r="R7" s="30"/>
      <c r="S7" s="30"/>
      <c r="T7" s="30"/>
      <c r="U7" s="30"/>
      <c r="V7" s="30"/>
      <c r="W7" s="30"/>
      <c r="X7" s="30"/>
      <c r="Y7" s="30"/>
      <c r="AC7" s="30"/>
      <c r="AD7" s="30"/>
      <c r="AE7" s="30"/>
      <c r="AF7" s="30"/>
      <c r="AG7" s="30"/>
      <c r="AH7" s="30"/>
    </row>
    <row r="8" spans="3:43" ht="20.100000000000001" customHeight="1">
      <c r="C8" s="28" t="s">
        <v>942</v>
      </c>
      <c r="D8" s="28"/>
      <c r="E8" s="28"/>
      <c r="F8" s="28"/>
      <c r="G8" s="29"/>
      <c r="H8" s="29"/>
      <c r="I8" s="29"/>
      <c r="J8" s="30"/>
      <c r="K8" s="30"/>
      <c r="L8" s="30"/>
      <c r="M8" s="30"/>
      <c r="N8" s="30"/>
      <c r="O8" s="30"/>
      <c r="P8" s="30"/>
      <c r="Q8" s="30"/>
      <c r="R8" s="30"/>
      <c r="S8" s="30"/>
      <c r="T8" s="30"/>
      <c r="U8" s="30"/>
      <c r="V8" s="30"/>
      <c r="W8" s="30"/>
      <c r="X8" s="30"/>
      <c r="Y8" s="30"/>
      <c r="AC8" s="30"/>
      <c r="AD8" s="30"/>
      <c r="AE8" s="30"/>
      <c r="AF8" s="30"/>
      <c r="AG8" s="30"/>
      <c r="AH8" s="30"/>
    </row>
    <row r="9" spans="3:43" ht="15" customHeight="1"/>
    <row r="10" spans="3:43" ht="15" customHeight="1">
      <c r="C10" s="41" t="s">
        <v>86</v>
      </c>
      <c r="D10" s="41"/>
      <c r="E10" s="43"/>
      <c r="F10" s="43"/>
      <c r="G10" s="43"/>
      <c r="H10" s="43"/>
      <c r="J10" s="43"/>
      <c r="K10" s="43"/>
    </row>
    <row r="11" spans="3:43" ht="15" customHeight="1"/>
    <row r="12" spans="3:43" s="6" customFormat="1" ht="15" customHeight="1">
      <c r="C12" s="7" t="s">
        <v>242</v>
      </c>
      <c r="D12" s="7"/>
      <c r="E12" s="7"/>
      <c r="F12" s="7"/>
      <c r="G12" s="7"/>
      <c r="H12" s="7"/>
      <c r="I12" s="7"/>
      <c r="J12" s="7"/>
      <c r="K12" s="7"/>
      <c r="L12" s="7"/>
      <c r="AL12" s="106"/>
      <c r="AM12" s="106"/>
      <c r="AN12" s="106"/>
      <c r="AO12" s="106"/>
      <c r="AP12" s="106"/>
      <c r="AQ12" s="106"/>
    </row>
    <row r="13" spans="3:43" s="6" customFormat="1" ht="15" customHeight="1">
      <c r="C13" s="6" t="s">
        <v>243</v>
      </c>
      <c r="AL13" s="106"/>
      <c r="AM13" s="106"/>
      <c r="AN13" s="106"/>
      <c r="AO13" s="106"/>
      <c r="AP13" s="106"/>
      <c r="AQ13" s="106"/>
    </row>
    <row r="14" spans="3:43" s="6" customFormat="1" ht="15" customHeight="1">
      <c r="AL14" s="106"/>
      <c r="AM14" s="106"/>
      <c r="AN14" s="106"/>
      <c r="AO14" s="106"/>
      <c r="AP14" s="106"/>
      <c r="AQ14" s="106"/>
    </row>
    <row r="15" spans="3:43" s="6" customFormat="1" ht="15" customHeight="1">
      <c r="AL15" s="106"/>
      <c r="AM15" s="106"/>
      <c r="AN15" s="106"/>
      <c r="AO15" s="106"/>
      <c r="AP15" s="106"/>
      <c r="AQ15" s="106"/>
    </row>
    <row r="16" spans="3:43" s="6" customFormat="1" ht="15" customHeight="1">
      <c r="C16" s="6" t="s">
        <v>943</v>
      </c>
      <c r="AL16" s="106"/>
      <c r="AM16" s="106"/>
      <c r="AN16" s="106"/>
      <c r="AO16" s="106"/>
      <c r="AP16" s="106"/>
      <c r="AQ16" s="106"/>
    </row>
    <row r="17" spans="3:43" s="6" customFormat="1" ht="15" customHeight="1">
      <c r="C17" s="6" t="s">
        <v>244</v>
      </c>
      <c r="AL17" s="106"/>
      <c r="AM17" s="106"/>
      <c r="AN17" s="106"/>
      <c r="AO17" s="106"/>
      <c r="AP17" s="106"/>
      <c r="AQ17" s="106"/>
    </row>
    <row r="18" spans="3:43" s="6" customFormat="1" ht="15" customHeight="1">
      <c r="C18" s="6" t="s">
        <v>245</v>
      </c>
      <c r="AL18" s="106"/>
      <c r="AM18" s="106"/>
      <c r="AN18" s="106"/>
      <c r="AO18" s="106"/>
      <c r="AP18" s="106"/>
      <c r="AQ18" s="106"/>
    </row>
    <row r="19" spans="3:43" s="6" customFormat="1" ht="15" customHeight="1">
      <c r="C19" s="6" t="s">
        <v>122</v>
      </c>
      <c r="AL19" s="106"/>
      <c r="AM19" s="106"/>
      <c r="AN19" s="106"/>
      <c r="AO19" s="106"/>
      <c r="AP19" s="106"/>
      <c r="AQ19" s="106"/>
    </row>
    <row r="20" spans="3:43" s="6" customFormat="1" ht="15" customHeight="1">
      <c r="AL20" s="106"/>
      <c r="AM20" s="106"/>
      <c r="AN20" s="106"/>
      <c r="AO20" s="106"/>
      <c r="AP20" s="106"/>
      <c r="AQ20" s="106"/>
    </row>
    <row r="21" spans="3:43" s="6" customFormat="1" ht="15" customHeight="1">
      <c r="AL21" s="106"/>
      <c r="AM21" s="106"/>
      <c r="AN21" s="106"/>
      <c r="AO21" s="106"/>
      <c r="AP21" s="106"/>
      <c r="AQ21" s="106"/>
    </row>
    <row r="22" spans="3:43" s="6" customFormat="1" ht="30" customHeight="1">
      <c r="C22" s="605" t="s">
        <v>74</v>
      </c>
      <c r="D22" s="605"/>
      <c r="E22" s="605"/>
      <c r="F22" s="605"/>
      <c r="G22" s="608">
        <v>9</v>
      </c>
      <c r="H22" s="608"/>
      <c r="I22" s="338"/>
      <c r="J22" s="604"/>
      <c r="K22" s="604"/>
      <c r="L22" s="604"/>
      <c r="M22" s="604"/>
      <c r="N22" s="604"/>
      <c r="O22" s="604"/>
      <c r="P22" s="604"/>
      <c r="Q22" s="604"/>
      <c r="R22" s="604"/>
      <c r="S22" s="604"/>
      <c r="T22" s="604"/>
      <c r="U22" s="339"/>
      <c r="V22" s="605" t="s">
        <v>85</v>
      </c>
      <c r="W22" s="605"/>
      <c r="X22" s="605"/>
      <c r="Y22" s="607" t="str">
        <f ca="1">'Employee Data Form'!H218</f>
        <v>30-NOV-2022</v>
      </c>
      <c r="Z22" s="607"/>
      <c r="AA22" s="607"/>
      <c r="AB22" s="607"/>
      <c r="AC22" s="607"/>
      <c r="AD22" s="607"/>
      <c r="AE22" s="607"/>
      <c r="AF22" s="607"/>
      <c r="AG22" s="607"/>
      <c r="AH22" s="607"/>
      <c r="AL22" s="106"/>
      <c r="AM22" s="106"/>
      <c r="AN22" s="106"/>
      <c r="AO22" s="106"/>
      <c r="AP22" s="106"/>
      <c r="AQ22" s="106"/>
    </row>
    <row r="23" spans="3:43" s="6" customFormat="1" ht="15" customHeight="1">
      <c r="C23" s="122"/>
      <c r="D23" s="122"/>
      <c r="E23" s="122"/>
      <c r="F23" s="122"/>
      <c r="G23" s="122"/>
      <c r="H23" s="122"/>
      <c r="I23" s="122"/>
      <c r="J23" s="122"/>
      <c r="K23" s="122"/>
      <c r="L23" s="122"/>
      <c r="M23" s="122"/>
      <c r="N23" s="122"/>
      <c r="O23" s="122"/>
      <c r="P23" s="122"/>
      <c r="Q23" s="122"/>
      <c r="R23" s="122"/>
      <c r="S23" s="122"/>
      <c r="T23" s="122"/>
      <c r="U23" s="122"/>
      <c r="V23" s="122"/>
      <c r="W23" s="122"/>
      <c r="X23" s="122"/>
      <c r="Y23" s="122"/>
      <c r="Z23" s="122"/>
      <c r="AA23" s="122"/>
      <c r="AB23" s="122"/>
      <c r="AC23" s="122"/>
      <c r="AD23" s="122"/>
      <c r="AE23" s="122"/>
      <c r="AF23" s="122"/>
      <c r="AG23" s="122"/>
      <c r="AH23" s="122"/>
      <c r="AL23" s="106"/>
      <c r="AM23" s="106"/>
      <c r="AN23" s="106"/>
      <c r="AO23" s="106"/>
      <c r="AP23" s="106"/>
      <c r="AQ23" s="106"/>
    </row>
    <row r="24" spans="3:43" s="6" customFormat="1" ht="30" customHeight="1">
      <c r="C24" s="605" t="s">
        <v>87</v>
      </c>
      <c r="D24" s="605"/>
      <c r="E24" s="605"/>
      <c r="F24" s="605"/>
      <c r="G24" s="338" t="str">
        <f>TRIM(CONCATENATE(IF('Employee Data Form'!S9="","",UPPER('Employee Data Form'!S9))," ",IF('Employee Data Form'!K9="","",UPPER('Employee Data Form'!K9))))</f>
        <v>SRIKANTH KOMMULA</v>
      </c>
      <c r="H24" s="604"/>
      <c r="I24" s="604"/>
      <c r="J24" s="604"/>
      <c r="K24" s="604"/>
      <c r="L24" s="604"/>
      <c r="M24" s="604"/>
      <c r="N24" s="604"/>
      <c r="O24" s="604"/>
      <c r="P24" s="604"/>
      <c r="Q24" s="604"/>
      <c r="R24" s="604"/>
      <c r="S24" s="604"/>
      <c r="T24" s="604"/>
      <c r="U24" s="604"/>
      <c r="V24" s="604"/>
      <c r="W24" s="604"/>
      <c r="X24" s="604"/>
      <c r="Y24" s="604"/>
      <c r="Z24" s="604"/>
      <c r="AA24" s="604"/>
      <c r="AB24" s="604"/>
      <c r="AC24" s="604"/>
      <c r="AD24" s="604"/>
      <c r="AE24" s="604"/>
      <c r="AF24" s="604"/>
      <c r="AG24" s="604"/>
      <c r="AH24" s="339"/>
      <c r="AL24" s="106"/>
      <c r="AM24" s="106"/>
      <c r="AN24" s="106"/>
      <c r="AO24" s="106"/>
      <c r="AP24" s="106"/>
      <c r="AQ24" s="106"/>
    </row>
    <row r="25" spans="3:43" s="6" customFormat="1" ht="15" customHeight="1">
      <c r="C25" s="122"/>
      <c r="D25" s="122"/>
      <c r="E25" s="122"/>
      <c r="F25" s="122"/>
      <c r="G25" s="122"/>
      <c r="H25" s="123" t="s">
        <v>88</v>
      </c>
      <c r="I25" s="122"/>
      <c r="J25" s="122"/>
      <c r="K25" s="122"/>
      <c r="L25" s="122"/>
      <c r="M25" s="122"/>
      <c r="N25" s="122"/>
      <c r="O25" s="122"/>
      <c r="P25" s="122"/>
      <c r="Q25" s="122"/>
      <c r="R25" s="122"/>
      <c r="S25" s="122"/>
      <c r="T25" s="122"/>
      <c r="U25" s="122"/>
      <c r="V25" s="122"/>
      <c r="W25" s="122"/>
      <c r="X25" s="122"/>
      <c r="Y25" s="122"/>
      <c r="Z25" s="122"/>
      <c r="AA25" s="122"/>
      <c r="AB25" s="122"/>
      <c r="AC25" s="122"/>
      <c r="AD25" s="122"/>
      <c r="AE25" s="122"/>
      <c r="AF25" s="122"/>
      <c r="AG25" s="122"/>
      <c r="AH25" s="122"/>
      <c r="AL25" s="106"/>
      <c r="AM25" s="106"/>
      <c r="AN25" s="106"/>
      <c r="AO25" s="106"/>
      <c r="AP25" s="106"/>
      <c r="AQ25" s="106"/>
    </row>
    <row r="26" spans="3:43" s="6" customFormat="1" ht="15" customHeight="1">
      <c r="C26" s="122"/>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2"/>
      <c r="AB26" s="122"/>
      <c r="AC26" s="122"/>
      <c r="AD26" s="122"/>
      <c r="AE26" s="122"/>
      <c r="AF26" s="122"/>
      <c r="AG26" s="122"/>
      <c r="AH26" s="122"/>
      <c r="AL26" s="106"/>
      <c r="AM26" s="106"/>
      <c r="AN26" s="106"/>
      <c r="AO26" s="106"/>
      <c r="AP26" s="106"/>
      <c r="AQ26" s="106"/>
    </row>
    <row r="27" spans="3:43" s="6" customFormat="1" ht="30" customHeight="1">
      <c r="C27" s="605" t="s">
        <v>89</v>
      </c>
      <c r="D27" s="605"/>
      <c r="E27" s="605"/>
      <c r="F27" s="605"/>
      <c r="G27" s="605"/>
      <c r="H27" s="605"/>
      <c r="I27" s="605"/>
      <c r="J27" s="605"/>
      <c r="K27" s="605"/>
      <c r="L27" s="605"/>
      <c r="M27" s="605"/>
      <c r="N27" s="605"/>
      <c r="O27" s="605"/>
      <c r="P27" s="605"/>
      <c r="Q27" s="605"/>
      <c r="R27" s="605"/>
      <c r="S27" s="605"/>
      <c r="T27" s="605" t="s">
        <v>90</v>
      </c>
      <c r="U27" s="605"/>
      <c r="V27" s="605"/>
      <c r="W27" s="605"/>
      <c r="X27" s="605"/>
      <c r="Y27" s="605"/>
      <c r="Z27" s="605"/>
      <c r="AA27" s="605"/>
      <c r="AB27" s="605"/>
      <c r="AC27" s="605"/>
      <c r="AD27" s="605"/>
      <c r="AE27" s="605"/>
      <c r="AF27" s="605"/>
      <c r="AG27" s="605"/>
      <c r="AH27" s="605"/>
      <c r="AL27" s="106"/>
      <c r="AM27" s="106"/>
      <c r="AN27" s="106"/>
      <c r="AO27" s="106"/>
      <c r="AP27" s="106"/>
      <c r="AQ27" s="106"/>
    </row>
    <row r="28" spans="3:43" s="6" customFormat="1" ht="15" customHeight="1">
      <c r="AL28" s="106"/>
      <c r="AM28" s="106"/>
      <c r="AN28" s="106"/>
      <c r="AO28" s="106"/>
      <c r="AP28" s="106"/>
      <c r="AQ28" s="106"/>
    </row>
    <row r="29" spans="3:43" s="6" customFormat="1" ht="15" customHeight="1">
      <c r="AL29" s="106"/>
      <c r="AM29" s="106"/>
      <c r="AN29" s="106"/>
      <c r="AO29" s="106"/>
      <c r="AP29" s="106"/>
      <c r="AQ29" s="106"/>
    </row>
    <row r="30" spans="3:43" s="6" customFormat="1" ht="15" customHeight="1">
      <c r="C30" s="14" t="s">
        <v>91</v>
      </c>
      <c r="D30" s="14"/>
      <c r="E30" s="14"/>
      <c r="AL30" s="106"/>
      <c r="AM30" s="106"/>
      <c r="AN30" s="106"/>
      <c r="AO30" s="106"/>
      <c r="AP30" s="106"/>
      <c r="AQ30" s="106"/>
    </row>
    <row r="31" spans="3:43" s="6" customFormat="1" ht="15" customHeight="1">
      <c r="AL31" s="106"/>
      <c r="AM31" s="106"/>
      <c r="AN31" s="106"/>
      <c r="AO31" s="106"/>
      <c r="AP31" s="106"/>
      <c r="AQ31" s="106"/>
    </row>
    <row r="32" spans="3:43" s="6" customFormat="1" ht="30" customHeight="1">
      <c r="C32" s="605" t="s">
        <v>92</v>
      </c>
      <c r="D32" s="605"/>
      <c r="E32" s="605"/>
      <c r="F32" s="605"/>
      <c r="G32" s="605"/>
      <c r="H32" s="606"/>
      <c r="I32" s="606"/>
      <c r="J32" s="606"/>
      <c r="K32" s="606"/>
      <c r="L32" s="606"/>
      <c r="M32" s="606"/>
      <c r="N32" s="606"/>
      <c r="O32" s="606"/>
      <c r="P32" s="606"/>
      <c r="Q32" s="606"/>
      <c r="R32" s="606"/>
      <c r="S32" s="606"/>
      <c r="T32" s="606"/>
      <c r="U32" s="606"/>
      <c r="V32" s="606"/>
      <c r="W32" s="606"/>
      <c r="X32" s="606"/>
      <c r="Y32" s="606"/>
      <c r="Z32" s="606"/>
      <c r="AA32" s="606"/>
      <c r="AB32" s="606"/>
      <c r="AC32" s="606"/>
      <c r="AD32" s="606"/>
      <c r="AE32" s="606"/>
      <c r="AF32" s="606"/>
      <c r="AG32" s="606"/>
      <c r="AH32" s="606"/>
      <c r="AI32" s="122"/>
      <c r="AL32" s="106"/>
      <c r="AM32" s="106"/>
      <c r="AN32" s="106"/>
      <c r="AO32" s="106"/>
      <c r="AP32" s="106"/>
      <c r="AQ32" s="106"/>
    </row>
    <row r="33" spans="3:43" s="6" customFormat="1" ht="15" customHeight="1">
      <c r="C33" s="122"/>
      <c r="D33" s="122"/>
      <c r="E33" s="122"/>
      <c r="F33" s="122"/>
      <c r="G33" s="122"/>
      <c r="H33" s="122"/>
      <c r="I33" s="122"/>
      <c r="J33" s="122" t="s">
        <v>123</v>
      </c>
      <c r="K33" s="122"/>
      <c r="L33" s="122"/>
      <c r="M33" s="122"/>
      <c r="N33" s="122"/>
      <c r="O33" s="122"/>
      <c r="P33" s="122"/>
      <c r="Q33" s="122"/>
      <c r="R33" s="122"/>
      <c r="S33" s="122"/>
      <c r="T33" s="122"/>
      <c r="U33" s="122"/>
      <c r="V33" s="122"/>
      <c r="W33" s="122"/>
      <c r="X33" s="122"/>
      <c r="Y33" s="122"/>
      <c r="Z33" s="122"/>
      <c r="AA33" s="122"/>
      <c r="AB33" s="122"/>
      <c r="AC33" s="122"/>
      <c r="AD33" s="122"/>
      <c r="AE33" s="122"/>
      <c r="AF33" s="122"/>
      <c r="AG33" s="122"/>
      <c r="AH33" s="122"/>
      <c r="AI33" s="122"/>
      <c r="AL33" s="106"/>
      <c r="AM33" s="106"/>
      <c r="AN33" s="106"/>
      <c r="AO33" s="106"/>
      <c r="AP33" s="106"/>
      <c r="AQ33" s="106"/>
    </row>
    <row r="34" spans="3:43" s="6" customFormat="1" ht="15" customHeight="1">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c r="AB34" s="122"/>
      <c r="AC34" s="122"/>
      <c r="AD34" s="122"/>
      <c r="AE34" s="122"/>
      <c r="AF34" s="122"/>
      <c r="AG34" s="122"/>
      <c r="AH34" s="122"/>
      <c r="AI34" s="122"/>
      <c r="AL34" s="106"/>
      <c r="AM34" s="106"/>
      <c r="AN34" s="106"/>
      <c r="AO34" s="106"/>
      <c r="AP34" s="106"/>
      <c r="AQ34" s="106"/>
    </row>
    <row r="35" spans="3:43" s="6" customFormat="1" ht="30" customHeight="1">
      <c r="C35" s="338" t="s">
        <v>124</v>
      </c>
      <c r="D35" s="604"/>
      <c r="E35" s="604"/>
      <c r="F35" s="604"/>
      <c r="G35" s="604"/>
      <c r="H35" s="604"/>
      <c r="I35" s="604"/>
      <c r="J35" s="604"/>
      <c r="K35" s="604"/>
      <c r="L35" s="604"/>
      <c r="M35" s="339"/>
      <c r="N35" s="605"/>
      <c r="O35" s="605"/>
      <c r="P35" s="605"/>
      <c r="Q35" s="605"/>
      <c r="R35" s="605"/>
      <c r="S35" s="605"/>
      <c r="T35" s="605"/>
      <c r="U35" s="605"/>
      <c r="V35" s="605"/>
      <c r="W35" s="605"/>
      <c r="X35" s="605"/>
      <c r="Y35" s="605"/>
      <c r="Z35" s="605"/>
      <c r="AA35" s="605"/>
      <c r="AB35" s="605"/>
      <c r="AC35" s="605"/>
      <c r="AD35" s="605"/>
      <c r="AE35" s="605"/>
      <c r="AF35" s="605"/>
      <c r="AG35" s="605"/>
      <c r="AH35" s="605"/>
      <c r="AI35" s="122"/>
      <c r="AL35" s="106"/>
      <c r="AM35" s="106"/>
      <c r="AN35" s="106"/>
      <c r="AO35" s="106"/>
      <c r="AP35" s="106"/>
      <c r="AQ35" s="106"/>
    </row>
    <row r="36" spans="3:43" s="6" customFormat="1" ht="15" customHeight="1">
      <c r="AL36" s="106"/>
      <c r="AM36" s="106"/>
      <c r="AN36" s="106"/>
      <c r="AO36" s="106"/>
      <c r="AP36" s="106"/>
      <c r="AQ36" s="106"/>
    </row>
    <row r="37" spans="3:43" s="6" customFormat="1" ht="15" customHeight="1">
      <c r="AL37" s="106"/>
      <c r="AM37" s="106"/>
      <c r="AN37" s="106"/>
      <c r="AO37" s="106"/>
      <c r="AP37" s="106"/>
      <c r="AQ37" s="106"/>
    </row>
    <row r="38" spans="3:43" s="6" customFormat="1" ht="15" customHeight="1">
      <c r="R38" s="12">
        <v>16</v>
      </c>
      <c r="AL38" s="106"/>
      <c r="AM38" s="106"/>
      <c r="AN38" s="106"/>
      <c r="AO38" s="106"/>
      <c r="AP38" s="106"/>
      <c r="AQ38" s="106"/>
    </row>
    <row r="39" spans="3:43" ht="15" customHeight="1"/>
  </sheetData>
  <sheetProtection password="C528" sheet="1" selectLockedCells="1"/>
  <mergeCells count="15">
    <mergeCell ref="V22:X22"/>
    <mergeCell ref="Y22:AH22"/>
    <mergeCell ref="C24:F24"/>
    <mergeCell ref="G24:AH24"/>
    <mergeCell ref="C22:F22"/>
    <mergeCell ref="G22:H22"/>
    <mergeCell ref="I22:U22"/>
    <mergeCell ref="C35:M35"/>
    <mergeCell ref="N35:AH35"/>
    <mergeCell ref="C27:G27"/>
    <mergeCell ref="H27:S27"/>
    <mergeCell ref="T27:Z27"/>
    <mergeCell ref="AA27:AH27"/>
    <mergeCell ref="C32:G32"/>
    <mergeCell ref="H32:AH32"/>
  </mergeCells>
  <pageMargins left="0" right="0" top="0" bottom="0"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sheetPr codeName="Sheet6"/>
  <dimension ref="A1:AK284"/>
  <sheetViews>
    <sheetView showGridLines="0" showRowColHeaders="0" workbookViewId="0">
      <selection activeCell="C1" sqref="C1"/>
    </sheetView>
  </sheetViews>
  <sheetFormatPr defaultColWidth="0" defaultRowHeight="15" customHeight="1" zeroHeight="1"/>
  <cols>
    <col min="1" max="36" width="2.7109375" style="106" customWidth="1"/>
    <col min="37" max="16384" width="9.140625" style="106" hidden="1"/>
  </cols>
  <sheetData>
    <row r="1" spans="3:37" ht="15" customHeight="1"/>
    <row r="2" spans="3:37" ht="15" customHeight="1"/>
    <row r="3" spans="3:37" ht="15" customHeight="1"/>
    <row r="4" spans="3:37" ht="15" customHeight="1"/>
    <row r="5" spans="3:37" ht="20.100000000000001" customHeight="1">
      <c r="F5" s="28"/>
      <c r="G5" s="28"/>
      <c r="H5" s="28"/>
      <c r="I5" s="28"/>
      <c r="J5" s="29"/>
      <c r="K5" s="29"/>
      <c r="L5" s="29"/>
      <c r="M5" s="29"/>
      <c r="N5" s="30"/>
      <c r="O5" s="30"/>
      <c r="P5" s="30"/>
      <c r="Q5" s="30"/>
      <c r="R5" s="62" t="s">
        <v>313</v>
      </c>
      <c r="S5" s="30"/>
      <c r="T5" s="30"/>
      <c r="U5" s="30"/>
      <c r="V5" s="30"/>
      <c r="W5" s="30"/>
      <c r="X5" s="30"/>
      <c r="Y5" s="30"/>
      <c r="Z5" s="30"/>
      <c r="AA5" s="30"/>
      <c r="AB5" s="30"/>
      <c r="AC5" s="30"/>
      <c r="AD5" s="30"/>
      <c r="AE5" s="30"/>
      <c r="AF5" s="30"/>
      <c r="AG5" s="65"/>
      <c r="AJ5" s="65"/>
      <c r="AK5" s="65"/>
    </row>
    <row r="6" spans="3:37" ht="20.100000000000001" customHeight="1">
      <c r="F6" s="28"/>
      <c r="G6" s="28"/>
      <c r="H6" s="28"/>
      <c r="I6" s="28"/>
      <c r="J6" s="29"/>
      <c r="K6" s="29"/>
      <c r="L6" s="29"/>
      <c r="M6" s="29"/>
      <c r="N6" s="30"/>
      <c r="O6" s="30"/>
      <c r="P6" s="30"/>
      <c r="Q6" s="30"/>
      <c r="R6" s="88"/>
      <c r="S6" s="30"/>
      <c r="T6" s="30"/>
      <c r="U6" s="30"/>
      <c r="V6" s="30"/>
      <c r="W6" s="30"/>
      <c r="X6" s="30"/>
      <c r="Y6" s="30"/>
      <c r="Z6" s="30"/>
      <c r="AA6" s="30"/>
      <c r="AB6" s="30"/>
      <c r="AC6" s="30"/>
      <c r="AD6" s="30"/>
      <c r="AE6" s="30"/>
      <c r="AF6" s="30"/>
      <c r="AG6" s="65"/>
      <c r="AJ6" s="65"/>
      <c r="AK6" s="65"/>
    </row>
    <row r="7" spans="3:37" ht="15" customHeight="1">
      <c r="D7" s="6" t="s">
        <v>314</v>
      </c>
    </row>
    <row r="8" spans="3:37" s="6" customFormat="1" ht="15" customHeight="1">
      <c r="D8" s="6" t="s">
        <v>315</v>
      </c>
    </row>
    <row r="9" spans="3:37" s="6" customFormat="1" ht="15" customHeight="1">
      <c r="C9" s="7"/>
      <c r="D9" s="7"/>
      <c r="E9" s="7"/>
      <c r="F9" s="7"/>
      <c r="G9" s="7"/>
      <c r="H9" s="7"/>
      <c r="I9" s="7"/>
    </row>
    <row r="10" spans="3:37" s="6" customFormat="1" ht="15" customHeight="1">
      <c r="C10" s="7"/>
      <c r="D10" s="92" t="s">
        <v>317</v>
      </c>
      <c r="E10" s="7"/>
      <c r="F10" s="73" t="s">
        <v>316</v>
      </c>
      <c r="H10" s="7"/>
    </row>
    <row r="11" spans="3:37" s="6" customFormat="1" ht="15" customHeight="1">
      <c r="F11" s="21" t="s">
        <v>324</v>
      </c>
    </row>
    <row r="12" spans="3:37" s="6" customFormat="1" ht="15" customHeight="1">
      <c r="D12" s="92" t="s">
        <v>317</v>
      </c>
      <c r="F12" s="21" t="s">
        <v>984</v>
      </c>
    </row>
    <row r="13" spans="3:37" s="6" customFormat="1" ht="15" customHeight="1">
      <c r="D13" s="92" t="s">
        <v>317</v>
      </c>
      <c r="F13" s="21" t="s">
        <v>325</v>
      </c>
    </row>
    <row r="14" spans="3:37" s="6" customFormat="1" ht="15" customHeight="1">
      <c r="F14" s="21" t="s">
        <v>318</v>
      </c>
    </row>
    <row r="15" spans="3:37" s="6" customFormat="1" ht="15" customHeight="1">
      <c r="D15" s="92" t="s">
        <v>317</v>
      </c>
      <c r="F15" s="21" t="s">
        <v>319</v>
      </c>
    </row>
    <row r="16" spans="3:37" s="6" customFormat="1" ht="15" customHeight="1">
      <c r="F16" s="21" t="s">
        <v>326</v>
      </c>
    </row>
    <row r="17" spans="4:32" s="6" customFormat="1" ht="15" customHeight="1">
      <c r="D17" s="92" t="s">
        <v>317</v>
      </c>
      <c r="F17" s="21" t="s">
        <v>320</v>
      </c>
    </row>
    <row r="18" spans="4:32" s="6" customFormat="1" ht="15" customHeight="1">
      <c r="F18" s="21" t="s">
        <v>321</v>
      </c>
    </row>
    <row r="19" spans="4:32" s="6" customFormat="1" ht="15" customHeight="1">
      <c r="D19" s="92" t="s">
        <v>317</v>
      </c>
      <c r="F19" s="21" t="s">
        <v>322</v>
      </c>
    </row>
    <row r="20" spans="4:32" s="6" customFormat="1" ht="15" customHeight="1">
      <c r="F20" s="21" t="s">
        <v>323</v>
      </c>
    </row>
    <row r="21" spans="4:32" s="6" customFormat="1" ht="15" customHeight="1"/>
    <row r="22" spans="4:32" ht="15" customHeight="1"/>
    <row r="23" spans="4:32" ht="15" customHeight="1">
      <c r="D23" s="25"/>
      <c r="E23" s="25"/>
      <c r="F23" s="25"/>
      <c r="G23" s="25"/>
      <c r="H23" s="25"/>
      <c r="I23" s="25"/>
      <c r="J23" s="25"/>
      <c r="K23" s="25"/>
      <c r="P23" s="445" t="str">
        <f ca="1">'Employee Data Form'!H218</f>
        <v>30-NOV-2022</v>
      </c>
      <c r="Q23" s="445"/>
      <c r="R23" s="445"/>
      <c r="S23" s="445"/>
      <c r="T23" s="445"/>
      <c r="U23" s="445"/>
      <c r="V23" s="445"/>
      <c r="AA23" s="445" t="str">
        <f>IF('Provident Fund'!E79="","",UPPER('Provident Fund'!E79))</f>
        <v/>
      </c>
      <c r="AB23" s="445"/>
      <c r="AC23" s="445"/>
      <c r="AD23" s="445"/>
      <c r="AE23" s="445"/>
      <c r="AF23" s="445"/>
    </row>
    <row r="24" spans="4:32" ht="15" customHeight="1">
      <c r="D24" s="608">
        <v>10</v>
      </c>
      <c r="E24" s="608"/>
      <c r="F24" s="579" t="s">
        <v>327</v>
      </c>
      <c r="G24" s="579"/>
      <c r="H24" s="579"/>
      <c r="I24" s="579"/>
      <c r="J24" s="579"/>
      <c r="K24" s="579"/>
      <c r="P24" s="444" t="s">
        <v>26</v>
      </c>
      <c r="Q24" s="444"/>
      <c r="R24" s="444"/>
      <c r="S24" s="444"/>
      <c r="T24" s="444"/>
      <c r="U24" s="444"/>
      <c r="V24" s="444"/>
      <c r="AA24" s="444" t="s">
        <v>3</v>
      </c>
      <c r="AB24" s="444"/>
      <c r="AC24" s="444"/>
      <c r="AD24" s="444"/>
      <c r="AE24" s="444"/>
      <c r="AF24" s="444"/>
    </row>
    <row r="25" spans="4:32" ht="15" customHeight="1"/>
    <row r="26" spans="4:32" ht="15" customHeight="1">
      <c r="D26" s="445" t="str">
        <f>TRIM(CONCATENATE(IF('Employee Data Form'!S9="","",UPPER('Employee Data Form'!S9))," ",IF('Employee Data Form'!K9="","",UPPER('Employee Data Form'!K9))))</f>
        <v>SRIKANTH KOMMULA</v>
      </c>
      <c r="E26" s="445"/>
      <c r="F26" s="445"/>
      <c r="G26" s="445"/>
      <c r="H26" s="445"/>
      <c r="I26" s="445"/>
      <c r="J26" s="445"/>
      <c r="K26" s="445"/>
      <c r="L26" s="445"/>
      <c r="M26" s="445"/>
      <c r="N26" s="445"/>
      <c r="O26" s="445"/>
      <c r="P26" s="445"/>
      <c r="Q26" s="445"/>
      <c r="U26" s="445"/>
      <c r="V26" s="445"/>
      <c r="W26" s="445"/>
      <c r="X26" s="445"/>
      <c r="Y26" s="445"/>
      <c r="Z26" s="445"/>
      <c r="AA26" s="445"/>
      <c r="AB26" s="445"/>
      <c r="AC26" s="445"/>
      <c r="AD26" s="445"/>
      <c r="AE26" s="445"/>
      <c r="AF26" s="445"/>
    </row>
    <row r="27" spans="4:32" ht="15" customHeight="1">
      <c r="D27" s="444" t="s">
        <v>329</v>
      </c>
      <c r="E27" s="444"/>
      <c r="F27" s="444"/>
      <c r="G27" s="444"/>
      <c r="H27" s="444"/>
      <c r="I27" s="444"/>
      <c r="J27" s="444"/>
      <c r="K27" s="444"/>
      <c r="L27" s="444"/>
      <c r="M27" s="444"/>
      <c r="N27" s="444"/>
      <c r="O27" s="444"/>
      <c r="P27" s="444"/>
      <c r="Q27" s="444"/>
      <c r="U27" s="579" t="s">
        <v>2</v>
      </c>
      <c r="V27" s="579"/>
      <c r="W27" s="579"/>
      <c r="X27" s="579"/>
      <c r="Y27" s="579"/>
      <c r="Z27" s="579"/>
      <c r="AA27" s="579"/>
      <c r="AB27" s="579"/>
      <c r="AC27" s="579"/>
      <c r="AD27" s="579"/>
      <c r="AE27" s="579"/>
      <c r="AF27" s="579"/>
    </row>
    <row r="28" spans="4:32" ht="15" customHeight="1"/>
    <row r="29" spans="4:32" ht="15" customHeight="1">
      <c r="D29" s="529"/>
      <c r="E29" s="529"/>
      <c r="F29" s="529"/>
      <c r="G29" s="529"/>
      <c r="H29" s="529"/>
      <c r="I29" s="529"/>
      <c r="J29" s="529"/>
      <c r="K29" s="529"/>
      <c r="L29" s="94"/>
      <c r="M29" s="94"/>
      <c r="N29" s="94"/>
      <c r="O29" s="94"/>
      <c r="P29" s="94"/>
      <c r="Q29" s="94"/>
      <c r="U29" s="445" t="str">
        <f ca="1">'Employee Data Form'!H218</f>
        <v>30-NOV-2022</v>
      </c>
      <c r="V29" s="445"/>
      <c r="W29" s="445"/>
      <c r="X29" s="445"/>
      <c r="Y29" s="445"/>
      <c r="Z29" s="445"/>
      <c r="AA29" s="445"/>
      <c r="AB29" s="93"/>
      <c r="AC29" s="93"/>
      <c r="AD29" s="93"/>
      <c r="AE29" s="93"/>
      <c r="AF29" s="93"/>
    </row>
    <row r="30" spans="4:32" ht="15" customHeight="1">
      <c r="D30" s="444" t="s">
        <v>328</v>
      </c>
      <c r="E30" s="444"/>
      <c r="F30" s="444"/>
      <c r="G30" s="444"/>
      <c r="H30" s="444"/>
      <c r="I30" s="444"/>
      <c r="J30" s="444"/>
      <c r="K30" s="444"/>
      <c r="L30" s="444"/>
      <c r="M30" s="444"/>
      <c r="N30" s="444"/>
      <c r="O30" s="444"/>
      <c r="P30" s="444"/>
      <c r="Q30" s="444"/>
      <c r="U30" s="444" t="s">
        <v>26</v>
      </c>
      <c r="V30" s="444"/>
      <c r="W30" s="444"/>
      <c r="X30" s="444"/>
      <c r="Y30" s="444"/>
      <c r="Z30" s="444"/>
      <c r="AA30" s="444"/>
      <c r="AB30" s="56"/>
      <c r="AC30" s="56"/>
      <c r="AD30" s="56"/>
      <c r="AE30" s="56"/>
      <c r="AF30" s="56"/>
    </row>
    <row r="31" spans="4:32" ht="15" customHeight="1"/>
    <row r="32" spans="4:32" ht="15" customHeight="1"/>
    <row r="33" spans="18:18" ht="15" customHeight="1"/>
    <row r="34" spans="18:18" ht="15" customHeight="1"/>
    <row r="35" spans="18:18" ht="15" customHeight="1"/>
    <row r="36" spans="18:18" ht="15" customHeight="1"/>
    <row r="37" spans="18:18" ht="15" customHeight="1">
      <c r="R37" s="12">
        <v>17</v>
      </c>
    </row>
    <row r="38" spans="18:18" ht="15" customHeight="1"/>
    <row r="45" spans="18:18" ht="20.100000000000001" hidden="1" customHeight="1"/>
    <row r="46" spans="18:18" ht="20.100000000000001" hidden="1" customHeight="1"/>
    <row r="61" ht="30" hidden="1" customHeight="1"/>
    <row r="63" ht="30" hidden="1" customHeight="1"/>
    <row r="66" ht="30" hidden="1" customHeight="1"/>
    <row r="71" ht="30" hidden="1" customHeight="1"/>
    <row r="74" ht="30" hidden="1" customHeight="1"/>
    <row r="151" ht="20.100000000000001" hidden="1" customHeight="1"/>
    <row r="152" ht="12.75" hidden="1" customHeight="1"/>
    <row r="155" ht="12.75" hidden="1" customHeight="1"/>
    <row r="156" ht="13.5" hidden="1" customHeight="1"/>
    <row r="158" ht="13.5" hidden="1" customHeight="1"/>
    <row r="238" ht="20.100000000000001" hidden="1" customHeight="1"/>
    <row r="243" ht="30" hidden="1" customHeight="1"/>
    <row r="244" ht="30" hidden="1" customHeight="1"/>
    <row r="246" ht="30" hidden="1" customHeight="1"/>
    <row r="247" ht="24.95" hidden="1" customHeight="1"/>
    <row r="248" ht="24.95" hidden="1" customHeight="1"/>
    <row r="249" ht="24.95" hidden="1" customHeight="1"/>
    <row r="250" ht="24.95" hidden="1" customHeight="1"/>
    <row r="251" ht="24.95" hidden="1" customHeight="1"/>
    <row r="252" ht="24.95" hidden="1" customHeight="1"/>
    <row r="253" ht="24.95" hidden="1" customHeight="1"/>
    <row r="254" ht="24.95" hidden="1" customHeight="1"/>
    <row r="255" ht="24.95" hidden="1" customHeight="1"/>
    <row r="256" ht="24.95" hidden="1" customHeight="1"/>
    <row r="257" ht="24.95" hidden="1" customHeight="1"/>
    <row r="258" ht="24.95" hidden="1" customHeight="1"/>
    <row r="259" ht="24.95" hidden="1" customHeight="1"/>
    <row r="260" ht="24.95" hidden="1" customHeight="1"/>
    <row r="261" ht="24.95" hidden="1" customHeight="1"/>
    <row r="262" ht="24.95" hidden="1" customHeight="1"/>
    <row r="263" ht="24.95" hidden="1" customHeight="1"/>
    <row r="264" ht="24.95" hidden="1" customHeight="1"/>
    <row r="265" ht="24.95" hidden="1" customHeight="1"/>
    <row r="266" ht="24.95" hidden="1" customHeight="1"/>
    <row r="267" ht="24.95" hidden="1"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sheetData>
  <sheetProtection password="C528" sheet="1" selectLockedCells="1"/>
  <mergeCells count="14">
    <mergeCell ref="U27:AF27"/>
    <mergeCell ref="D27:Q27"/>
    <mergeCell ref="P24:V24"/>
    <mergeCell ref="D30:Q30"/>
    <mergeCell ref="U29:AA29"/>
    <mergeCell ref="U30:AA30"/>
    <mergeCell ref="D24:E24"/>
    <mergeCell ref="F24:K24"/>
    <mergeCell ref="D29:K29"/>
    <mergeCell ref="P23:V23"/>
    <mergeCell ref="AA24:AF24"/>
    <mergeCell ref="AA23:AF23"/>
    <mergeCell ref="D26:Q26"/>
    <mergeCell ref="U26:AF26"/>
  </mergeCells>
  <dataValidations count="1">
    <dataValidation type="custom" allowBlank="1" showInputMessage="1" showErrorMessage="1" sqref="D29:K29">
      <formula1>EXACT(D29,UPPER(D29))</formula1>
    </dataValidation>
  </dataValidations>
  <pageMargins left="0" right="0" top="0" bottom="0"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sheetPr codeName="Sheet7"/>
  <dimension ref="A1:AZ56"/>
  <sheetViews>
    <sheetView showRowColHeaders="0" workbookViewId="0">
      <selection activeCell="B7" sqref="B7:H7"/>
    </sheetView>
  </sheetViews>
  <sheetFormatPr defaultColWidth="0" defaultRowHeight="15" zeroHeight="1"/>
  <cols>
    <col min="1" max="1" width="4.7109375" style="106" customWidth="1"/>
    <col min="2" max="2" width="4.140625" style="106" customWidth="1"/>
    <col min="3" max="34" width="2.7109375" style="106" customWidth="1"/>
    <col min="35" max="52" width="9.140625" style="106" hidden="1" customWidth="1"/>
    <col min="53" max="16384" width="0" style="106" hidden="1"/>
  </cols>
  <sheetData>
    <row r="1" spans="1:36">
      <c r="A1" s="112"/>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c r="AH1" s="112"/>
      <c r="AI1" s="112"/>
      <c r="AJ1" s="112"/>
    </row>
    <row r="2" spans="1:36">
      <c r="A2" s="112"/>
      <c r="B2" s="112"/>
      <c r="C2" s="112"/>
      <c r="D2" s="112"/>
      <c r="E2" s="112"/>
      <c r="F2" s="112"/>
      <c r="G2" s="112"/>
      <c r="H2" s="112"/>
      <c r="I2" s="112"/>
      <c r="J2" s="112"/>
      <c r="K2" s="112"/>
      <c r="L2" s="112"/>
      <c r="M2" s="112"/>
      <c r="N2" s="112"/>
      <c r="O2" s="112"/>
      <c r="P2" s="112"/>
      <c r="Q2" s="112"/>
      <c r="R2" s="112"/>
      <c r="S2" s="112"/>
      <c r="T2" s="112"/>
      <c r="U2" s="112"/>
      <c r="V2" s="112"/>
      <c r="W2" s="112"/>
      <c r="X2" s="112"/>
      <c r="Y2" s="112"/>
      <c r="Z2" s="112"/>
      <c r="AA2" s="112"/>
      <c r="AB2" s="112"/>
      <c r="AC2" s="112"/>
      <c r="AD2" s="112"/>
      <c r="AE2" s="112"/>
      <c r="AF2" s="112"/>
      <c r="AG2" s="112"/>
      <c r="AH2" s="112"/>
      <c r="AI2" s="112"/>
      <c r="AJ2" s="112"/>
    </row>
    <row r="3" spans="1:36">
      <c r="A3" s="112"/>
      <c r="B3" s="112"/>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112"/>
      <c r="AC3" s="112"/>
      <c r="AD3" s="112"/>
      <c r="AE3" s="112"/>
      <c r="AF3" s="112"/>
      <c r="AG3" s="112"/>
      <c r="AH3" s="112"/>
      <c r="AI3" s="112"/>
      <c r="AJ3" s="112"/>
    </row>
    <row r="4" spans="1:36">
      <c r="A4" s="112"/>
      <c r="B4" s="112"/>
      <c r="C4" s="112"/>
      <c r="D4" s="112"/>
      <c r="E4" s="112"/>
      <c r="F4" s="112"/>
      <c r="G4" s="112"/>
      <c r="H4" s="112"/>
      <c r="I4" s="112"/>
      <c r="J4" s="112"/>
      <c r="K4" s="112"/>
      <c r="L4" s="112"/>
      <c r="M4" s="112"/>
      <c r="N4" s="112"/>
      <c r="O4" s="112"/>
      <c r="P4" s="112"/>
      <c r="Q4" s="112"/>
      <c r="R4" s="112"/>
      <c r="S4" s="112"/>
      <c r="T4" s="112"/>
      <c r="U4" s="112"/>
      <c r="V4" s="112"/>
      <c r="W4" s="112"/>
      <c r="X4" s="112"/>
      <c r="Y4" s="112"/>
      <c r="Z4" s="112"/>
      <c r="AA4" s="112"/>
      <c r="AB4" s="112"/>
      <c r="AC4" s="112"/>
      <c r="AD4" s="112"/>
      <c r="AE4" s="112"/>
      <c r="AF4" s="112"/>
      <c r="AG4" s="112"/>
      <c r="AH4" s="112"/>
      <c r="AI4" s="112"/>
      <c r="AJ4" s="112"/>
    </row>
    <row r="5" spans="1:36" ht="15.75">
      <c r="A5" s="112"/>
      <c r="B5" s="629" t="s">
        <v>948</v>
      </c>
      <c r="C5" s="630"/>
      <c r="D5" s="630"/>
      <c r="E5" s="630"/>
      <c r="F5" s="630"/>
      <c r="G5" s="630"/>
      <c r="H5" s="630"/>
      <c r="I5" s="630"/>
      <c r="J5" s="630"/>
      <c r="K5" s="630"/>
      <c r="L5" s="630"/>
      <c r="M5" s="630"/>
      <c r="N5" s="630"/>
      <c r="O5" s="630"/>
      <c r="P5" s="630"/>
      <c r="Q5" s="630"/>
      <c r="R5" s="630"/>
      <c r="S5" s="630"/>
      <c r="T5" s="630"/>
      <c r="U5" s="630"/>
      <c r="V5" s="630"/>
      <c r="W5" s="630"/>
      <c r="X5" s="630"/>
      <c r="Y5" s="630"/>
      <c r="Z5" s="630"/>
      <c r="AA5" s="630"/>
      <c r="AB5" s="630"/>
      <c r="AC5" s="630"/>
      <c r="AD5" s="630"/>
      <c r="AE5" s="630"/>
      <c r="AF5" s="630"/>
      <c r="AG5" s="631"/>
      <c r="AH5" s="112"/>
      <c r="AI5" s="112"/>
      <c r="AJ5" s="112"/>
    </row>
    <row r="6" spans="1:36">
      <c r="A6" s="112"/>
      <c r="B6" s="112"/>
      <c r="C6" s="112"/>
      <c r="D6" s="112"/>
      <c r="E6" s="112"/>
      <c r="F6" s="112"/>
      <c r="G6" s="112"/>
      <c r="H6" s="112"/>
      <c r="I6" s="112"/>
      <c r="J6" s="112"/>
      <c r="K6" s="112"/>
      <c r="L6" s="112"/>
      <c r="M6" s="112"/>
      <c r="N6" s="112"/>
      <c r="O6" s="112"/>
      <c r="P6" s="112"/>
      <c r="Q6" s="112"/>
      <c r="R6" s="112"/>
      <c r="S6" s="112"/>
      <c r="T6" s="112"/>
      <c r="U6" s="112"/>
      <c r="V6" s="112"/>
      <c r="W6" s="112"/>
      <c r="X6" s="112"/>
      <c r="Y6" s="112"/>
      <c r="Z6" s="112"/>
      <c r="AA6" s="112"/>
      <c r="AB6" s="112"/>
      <c r="AC6" s="112"/>
      <c r="AD6" s="112"/>
      <c r="AE6" s="112"/>
      <c r="AF6" s="112"/>
      <c r="AG6" s="112"/>
      <c r="AH6" s="112"/>
      <c r="AI6" s="112"/>
      <c r="AJ6" s="112"/>
    </row>
    <row r="7" spans="1:36">
      <c r="A7" s="112"/>
      <c r="B7" s="609" t="s">
        <v>71</v>
      </c>
      <c r="C7" s="610"/>
      <c r="D7" s="610"/>
      <c r="E7" s="610"/>
      <c r="F7" s="610"/>
      <c r="G7" s="610"/>
      <c r="H7" s="611"/>
      <c r="I7" s="622" t="str">
        <f>TRIM(CONCATENATE(IF('Employee Data Form'!S9="","",UPPER('Employee Data Form'!S9))," ",IF('Employee Data Form'!K9="","",UPPER('Employee Data Form'!K9))))</f>
        <v>SRIKANTH KOMMULA</v>
      </c>
      <c r="J7" s="623"/>
      <c r="K7" s="623"/>
      <c r="L7" s="623"/>
      <c r="M7" s="623"/>
      <c r="N7" s="623"/>
      <c r="O7" s="623"/>
      <c r="P7" s="623"/>
      <c r="Q7" s="623"/>
      <c r="R7" s="623"/>
      <c r="S7" s="623"/>
      <c r="T7" s="623"/>
      <c r="U7" s="623"/>
      <c r="V7" s="623"/>
      <c r="W7" s="623"/>
      <c r="X7" s="623"/>
      <c r="Y7" s="623"/>
      <c r="Z7" s="623"/>
      <c r="AA7" s="623"/>
      <c r="AB7" s="623"/>
      <c r="AC7" s="623"/>
      <c r="AD7" s="623"/>
      <c r="AE7" s="623"/>
      <c r="AF7" s="623"/>
      <c r="AG7" s="624"/>
      <c r="AH7" s="112"/>
      <c r="AI7" s="112"/>
      <c r="AJ7" s="112"/>
    </row>
    <row r="8" spans="1:36">
      <c r="A8" s="112"/>
      <c r="B8" s="112"/>
      <c r="C8" s="112"/>
      <c r="D8" s="112"/>
      <c r="E8" s="112"/>
      <c r="F8" s="112"/>
      <c r="G8" s="112"/>
      <c r="H8" s="112"/>
      <c r="I8" s="112"/>
      <c r="J8" s="112"/>
      <c r="K8" s="112"/>
      <c r="L8" s="112"/>
      <c r="M8" s="112"/>
      <c r="N8" s="112"/>
      <c r="O8" s="112"/>
      <c r="P8" s="112"/>
      <c r="Q8" s="112"/>
      <c r="R8" s="112"/>
      <c r="S8" s="112"/>
      <c r="T8" s="112"/>
      <c r="U8" s="112"/>
      <c r="V8" s="112"/>
      <c r="W8" s="112"/>
      <c r="X8" s="112"/>
      <c r="Y8" s="112"/>
      <c r="Z8" s="112"/>
      <c r="AA8" s="112"/>
      <c r="AB8" s="112"/>
      <c r="AC8" s="112"/>
      <c r="AD8" s="112"/>
      <c r="AE8" s="112"/>
      <c r="AF8" s="112"/>
      <c r="AG8" s="112"/>
      <c r="AH8" s="112"/>
      <c r="AI8" s="112"/>
      <c r="AJ8" s="112"/>
    </row>
    <row r="9" spans="1:36">
      <c r="A9" s="112"/>
      <c r="B9" s="632" t="s">
        <v>949</v>
      </c>
      <c r="C9" s="632"/>
      <c r="D9" s="632"/>
      <c r="E9" s="632"/>
      <c r="F9" s="632"/>
      <c r="G9" s="632"/>
      <c r="H9" s="632"/>
      <c r="I9" s="632"/>
      <c r="J9" s="632"/>
      <c r="K9" s="632"/>
      <c r="L9" s="632"/>
      <c r="M9" s="632"/>
      <c r="N9" s="632"/>
      <c r="O9" s="632"/>
      <c r="P9" s="632"/>
      <c r="Q9" s="632"/>
      <c r="R9" s="632"/>
      <c r="S9" s="632"/>
      <c r="T9" s="632"/>
      <c r="U9" s="632"/>
      <c r="V9" s="112"/>
      <c r="W9" s="112"/>
      <c r="X9" s="112"/>
      <c r="Y9" s="112"/>
      <c r="Z9" s="112"/>
      <c r="AA9" s="112"/>
      <c r="AB9" s="112"/>
      <c r="AC9" s="112"/>
      <c r="AD9" s="112"/>
      <c r="AE9" s="112"/>
      <c r="AF9" s="112"/>
      <c r="AG9" s="112"/>
      <c r="AH9" s="112"/>
      <c r="AI9" s="112"/>
      <c r="AJ9" s="112"/>
    </row>
    <row r="10" spans="1:36">
      <c r="A10" s="112"/>
      <c r="B10" s="113" t="s">
        <v>950</v>
      </c>
      <c r="C10" s="113"/>
      <c r="D10" s="113"/>
      <c r="E10" s="113"/>
      <c r="F10" s="113"/>
      <c r="G10" s="113"/>
      <c r="H10" s="113"/>
      <c r="I10" s="113"/>
      <c r="J10" s="113"/>
      <c r="K10" s="113"/>
      <c r="L10" s="112"/>
      <c r="M10" s="112"/>
      <c r="N10" s="112"/>
      <c r="O10" s="112"/>
      <c r="P10" s="112"/>
      <c r="Q10" s="112"/>
      <c r="R10" s="112"/>
      <c r="S10" s="112"/>
      <c r="T10" s="112"/>
      <c r="U10" s="112"/>
      <c r="V10" s="112"/>
      <c r="W10" s="112"/>
      <c r="X10" s="112"/>
      <c r="Y10" s="112"/>
      <c r="Z10" s="112"/>
      <c r="AA10" s="112"/>
      <c r="AB10" s="112"/>
      <c r="AC10" s="112"/>
      <c r="AD10" s="112"/>
      <c r="AE10" s="112"/>
      <c r="AF10" s="112"/>
      <c r="AG10" s="112"/>
      <c r="AH10" s="112"/>
      <c r="AI10" s="112"/>
      <c r="AJ10" s="112"/>
    </row>
    <row r="11" spans="1:36">
      <c r="A11" s="112"/>
      <c r="B11" s="114" t="s">
        <v>951</v>
      </c>
      <c r="C11" s="115" t="s">
        <v>952</v>
      </c>
      <c r="D11" s="116"/>
      <c r="E11" s="116"/>
      <c r="F11" s="116"/>
      <c r="G11" s="116"/>
      <c r="H11" s="116"/>
      <c r="I11" s="116"/>
      <c r="J11" s="116"/>
      <c r="K11" s="116"/>
      <c r="L11" s="116"/>
      <c r="M11" s="117"/>
      <c r="N11" s="622" t="str">
        <f>IF('Employee Data Form'!L192="","",'Employee Data Form'!L192)</f>
        <v/>
      </c>
      <c r="O11" s="623"/>
      <c r="P11" s="623"/>
      <c r="Q11" s="623"/>
      <c r="R11" s="623"/>
      <c r="S11" s="623"/>
      <c r="T11" s="623"/>
      <c r="U11" s="623"/>
      <c r="V11" s="623"/>
      <c r="W11" s="623"/>
      <c r="X11" s="623"/>
      <c r="Y11" s="623"/>
      <c r="Z11" s="623"/>
      <c r="AA11" s="623"/>
      <c r="AB11" s="623"/>
      <c r="AC11" s="623"/>
      <c r="AD11" s="623"/>
      <c r="AE11" s="623"/>
      <c r="AF11" s="623"/>
      <c r="AG11" s="624"/>
      <c r="AH11" s="112"/>
      <c r="AI11" s="112"/>
      <c r="AJ11" s="112"/>
    </row>
    <row r="12" spans="1:36">
      <c r="A12" s="112"/>
      <c r="B12" s="114" t="s">
        <v>953</v>
      </c>
      <c r="C12" s="115" t="s">
        <v>954</v>
      </c>
      <c r="D12" s="116"/>
      <c r="E12" s="116"/>
      <c r="F12" s="116"/>
      <c r="G12" s="116"/>
      <c r="H12" s="116"/>
      <c r="I12" s="116"/>
      <c r="J12" s="116"/>
      <c r="K12" s="116"/>
      <c r="L12" s="116"/>
      <c r="M12" s="117"/>
      <c r="N12" s="622" t="str">
        <f>IF('Employee Data Form'!L193="","",'Employee Data Form'!L193)</f>
        <v/>
      </c>
      <c r="O12" s="623"/>
      <c r="P12" s="623"/>
      <c r="Q12" s="623"/>
      <c r="R12" s="623"/>
      <c r="S12" s="623"/>
      <c r="T12" s="623"/>
      <c r="U12" s="623"/>
      <c r="V12" s="623"/>
      <c r="W12" s="623"/>
      <c r="X12" s="623"/>
      <c r="Y12" s="623"/>
      <c r="Z12" s="623"/>
      <c r="AA12" s="623"/>
      <c r="AB12" s="623"/>
      <c r="AC12" s="623"/>
      <c r="AD12" s="623"/>
      <c r="AE12" s="623"/>
      <c r="AF12" s="623"/>
      <c r="AG12" s="624"/>
      <c r="AH12" s="112"/>
      <c r="AI12" s="112"/>
      <c r="AJ12" s="112"/>
    </row>
    <row r="13" spans="1:36">
      <c r="A13" s="112"/>
      <c r="B13" s="114" t="s">
        <v>955</v>
      </c>
      <c r="C13" s="115" t="s">
        <v>956</v>
      </c>
      <c r="D13" s="116"/>
      <c r="E13" s="116"/>
      <c r="F13" s="116"/>
      <c r="G13" s="116"/>
      <c r="H13" s="116"/>
      <c r="I13" s="116"/>
      <c r="J13" s="116"/>
      <c r="K13" s="116"/>
      <c r="L13" s="116"/>
      <c r="M13" s="117"/>
      <c r="N13" s="622" t="str">
        <f>IF('Employee Data Form'!L194="","",'Employee Data Form'!L194)</f>
        <v/>
      </c>
      <c r="O13" s="623"/>
      <c r="P13" s="623"/>
      <c r="Q13" s="623"/>
      <c r="R13" s="623"/>
      <c r="S13" s="623"/>
      <c r="T13" s="623"/>
      <c r="U13" s="623"/>
      <c r="V13" s="623"/>
      <c r="W13" s="623"/>
      <c r="X13" s="623"/>
      <c r="Y13" s="623"/>
      <c r="Z13" s="623"/>
      <c r="AA13" s="623"/>
      <c r="AB13" s="623"/>
      <c r="AC13" s="623"/>
      <c r="AD13" s="623"/>
      <c r="AE13" s="623"/>
      <c r="AF13" s="623"/>
      <c r="AG13" s="624"/>
      <c r="AH13" s="112"/>
      <c r="AI13" s="112"/>
      <c r="AJ13" s="112"/>
    </row>
    <row r="14" spans="1:36">
      <c r="A14" s="112"/>
      <c r="B14" s="114" t="s">
        <v>957</v>
      </c>
      <c r="C14" s="115" t="s">
        <v>958</v>
      </c>
      <c r="D14" s="116"/>
      <c r="E14" s="116"/>
      <c r="F14" s="116"/>
      <c r="G14" s="116"/>
      <c r="H14" s="116"/>
      <c r="I14" s="116"/>
      <c r="J14" s="116"/>
      <c r="K14" s="116"/>
      <c r="L14" s="116"/>
      <c r="M14" s="117"/>
      <c r="N14" s="622" t="str">
        <f>IF('Employee Data Form'!L195="","",'Employee Data Form'!L195)</f>
        <v/>
      </c>
      <c r="O14" s="623"/>
      <c r="P14" s="623"/>
      <c r="Q14" s="623"/>
      <c r="R14" s="623"/>
      <c r="S14" s="623"/>
      <c r="T14" s="623"/>
      <c r="U14" s="623"/>
      <c r="V14" s="623"/>
      <c r="W14" s="623"/>
      <c r="X14" s="623"/>
      <c r="Y14" s="623"/>
      <c r="Z14" s="623"/>
      <c r="AA14" s="623"/>
      <c r="AB14" s="623"/>
      <c r="AC14" s="623"/>
      <c r="AD14" s="623"/>
      <c r="AE14" s="623"/>
      <c r="AF14" s="623"/>
      <c r="AG14" s="624"/>
      <c r="AH14" s="112"/>
      <c r="AI14" s="112"/>
      <c r="AJ14" s="112"/>
    </row>
    <row r="15" spans="1:36">
      <c r="A15" s="112"/>
      <c r="B15" s="114" t="s">
        <v>959</v>
      </c>
      <c r="C15" s="115" t="s">
        <v>960</v>
      </c>
      <c r="D15" s="116"/>
      <c r="E15" s="116"/>
      <c r="F15" s="116"/>
      <c r="G15" s="116"/>
      <c r="H15" s="116"/>
      <c r="I15" s="116"/>
      <c r="J15" s="116"/>
      <c r="K15" s="116"/>
      <c r="L15" s="116"/>
      <c r="M15" s="117"/>
      <c r="N15" s="622" t="str">
        <f>IF('Employee Data Form'!AC192="","",'Employee Data Form'!AC192)</f>
        <v/>
      </c>
      <c r="O15" s="623"/>
      <c r="P15" s="623"/>
      <c r="Q15" s="623"/>
      <c r="R15" s="623"/>
      <c r="S15" s="623"/>
      <c r="T15" s="623"/>
      <c r="U15" s="623"/>
      <c r="V15" s="623"/>
      <c r="W15" s="623"/>
      <c r="X15" s="623"/>
      <c r="Y15" s="623"/>
      <c r="Z15" s="623"/>
      <c r="AA15" s="623"/>
      <c r="AB15" s="623"/>
      <c r="AC15" s="623"/>
      <c r="AD15" s="623"/>
      <c r="AE15" s="623"/>
      <c r="AF15" s="623"/>
      <c r="AG15" s="624"/>
      <c r="AH15" s="112"/>
      <c r="AI15" s="112"/>
      <c r="AJ15" s="112"/>
    </row>
    <row r="16" spans="1:36">
      <c r="A16" s="112"/>
      <c r="B16" s="114" t="s">
        <v>961</v>
      </c>
      <c r="C16" s="115" t="s">
        <v>962</v>
      </c>
      <c r="D16" s="116"/>
      <c r="E16" s="116"/>
      <c r="F16" s="116"/>
      <c r="G16" s="116"/>
      <c r="H16" s="116"/>
      <c r="I16" s="116"/>
      <c r="J16" s="116"/>
      <c r="K16" s="116"/>
      <c r="L16" s="116"/>
      <c r="M16" s="117"/>
      <c r="N16" s="622" t="str">
        <f>IF('Employee Data Form'!AC193="","",'Employee Data Form'!AC193)</f>
        <v/>
      </c>
      <c r="O16" s="623"/>
      <c r="P16" s="623"/>
      <c r="Q16" s="623"/>
      <c r="R16" s="623"/>
      <c r="S16" s="623"/>
      <c r="T16" s="623"/>
      <c r="U16" s="623"/>
      <c r="V16" s="623"/>
      <c r="W16" s="623"/>
      <c r="X16" s="623"/>
      <c r="Y16" s="623"/>
      <c r="Z16" s="623"/>
      <c r="AA16" s="623"/>
      <c r="AB16" s="623"/>
      <c r="AC16" s="623"/>
      <c r="AD16" s="623"/>
      <c r="AE16" s="623"/>
      <c r="AF16" s="623"/>
      <c r="AG16" s="624"/>
      <c r="AH16" s="112"/>
      <c r="AI16" s="112"/>
      <c r="AJ16" s="112"/>
    </row>
    <row r="17" spans="1:36">
      <c r="A17" s="112"/>
      <c r="B17" s="114" t="s">
        <v>963</v>
      </c>
      <c r="C17" s="115" t="s">
        <v>964</v>
      </c>
      <c r="D17" s="116"/>
      <c r="E17" s="116"/>
      <c r="F17" s="116"/>
      <c r="G17" s="116"/>
      <c r="H17" s="116"/>
      <c r="I17" s="116"/>
      <c r="J17" s="116"/>
      <c r="K17" s="116"/>
      <c r="L17" s="116"/>
      <c r="M17" s="117"/>
      <c r="N17" s="622" t="str">
        <f>IF('Employee Data Form'!AC194="","",'Employee Data Form'!AC194)</f>
        <v/>
      </c>
      <c r="O17" s="623"/>
      <c r="P17" s="623"/>
      <c r="Q17" s="623"/>
      <c r="R17" s="623"/>
      <c r="S17" s="623"/>
      <c r="T17" s="623"/>
      <c r="U17" s="623"/>
      <c r="V17" s="623"/>
      <c r="W17" s="623"/>
      <c r="X17" s="623"/>
      <c r="Y17" s="623"/>
      <c r="Z17" s="623"/>
      <c r="AA17" s="623"/>
      <c r="AB17" s="623"/>
      <c r="AC17" s="623"/>
      <c r="AD17" s="623"/>
      <c r="AE17" s="623"/>
      <c r="AF17" s="623"/>
      <c r="AG17" s="624"/>
      <c r="AH17" s="112"/>
      <c r="AI17" s="112"/>
      <c r="AJ17" s="112"/>
    </row>
    <row r="18" spans="1:36">
      <c r="A18" s="112"/>
      <c r="B18" s="114" t="s">
        <v>965</v>
      </c>
      <c r="C18" s="115" t="s">
        <v>966</v>
      </c>
      <c r="D18" s="116"/>
      <c r="E18" s="116"/>
      <c r="F18" s="116"/>
      <c r="G18" s="116"/>
      <c r="H18" s="116"/>
      <c r="I18" s="116"/>
      <c r="J18" s="116"/>
      <c r="K18" s="116"/>
      <c r="L18" s="116"/>
      <c r="M18" s="117"/>
      <c r="N18" s="622" t="str">
        <f>IF('Employee Data Form'!AC195="","",'Employee Data Form'!AC195)</f>
        <v/>
      </c>
      <c r="O18" s="623"/>
      <c r="P18" s="623"/>
      <c r="Q18" s="623"/>
      <c r="R18" s="623"/>
      <c r="S18" s="623"/>
      <c r="T18" s="623"/>
      <c r="U18" s="623"/>
      <c r="V18" s="623"/>
      <c r="W18" s="623"/>
      <c r="X18" s="623"/>
      <c r="Y18" s="623"/>
      <c r="Z18" s="623"/>
      <c r="AA18" s="623"/>
      <c r="AB18" s="623"/>
      <c r="AC18" s="623"/>
      <c r="AD18" s="623"/>
      <c r="AE18" s="623"/>
      <c r="AF18" s="623"/>
      <c r="AG18" s="624"/>
      <c r="AH18" s="112"/>
      <c r="AI18" s="112"/>
      <c r="AJ18" s="112"/>
    </row>
    <row r="19" spans="1:36">
      <c r="A19" s="112"/>
      <c r="B19" s="157"/>
      <c r="C19" s="157"/>
      <c r="D19" s="157"/>
      <c r="E19" s="157"/>
      <c r="F19" s="157"/>
      <c r="G19" s="157"/>
      <c r="H19" s="157"/>
      <c r="I19" s="157"/>
      <c r="J19" s="157"/>
      <c r="K19" s="157"/>
      <c r="L19" s="157"/>
      <c r="M19" s="157"/>
      <c r="N19" s="186"/>
      <c r="O19" s="186"/>
      <c r="P19" s="186"/>
      <c r="Q19" s="186"/>
      <c r="R19" s="186"/>
      <c r="S19" s="186"/>
      <c r="T19" s="186"/>
      <c r="U19" s="186"/>
      <c r="V19" s="186"/>
      <c r="W19" s="186"/>
      <c r="X19" s="186"/>
      <c r="Y19" s="186"/>
      <c r="Z19" s="186"/>
      <c r="AA19" s="186"/>
      <c r="AB19" s="186"/>
      <c r="AC19" s="186"/>
      <c r="AD19" s="186"/>
      <c r="AE19" s="186"/>
      <c r="AF19" s="186"/>
      <c r="AG19" s="186"/>
      <c r="AH19" s="112"/>
      <c r="AI19" s="112"/>
      <c r="AJ19" s="112"/>
    </row>
    <row r="20" spans="1:36">
      <c r="A20" s="112"/>
      <c r="B20" s="625" t="s">
        <v>950</v>
      </c>
      <c r="C20" s="626"/>
      <c r="D20" s="626"/>
      <c r="E20" s="626"/>
      <c r="F20" s="626"/>
      <c r="G20" s="626"/>
      <c r="H20" s="626"/>
      <c r="I20" s="626"/>
      <c r="J20" s="626"/>
      <c r="K20" s="626"/>
      <c r="L20" s="626"/>
      <c r="M20" s="627"/>
      <c r="N20" s="628" t="str">
        <f>IF('Employee Data Form'!L196="","",'Employee Data Form'!L196)</f>
        <v/>
      </c>
      <c r="O20" s="628"/>
      <c r="P20" s="628"/>
      <c r="Q20" s="628"/>
      <c r="R20" s="628"/>
      <c r="S20" s="628"/>
      <c r="T20" s="628"/>
      <c r="U20" s="628"/>
      <c r="V20" s="628"/>
      <c r="W20" s="628"/>
      <c r="X20" s="628"/>
      <c r="Y20" s="628"/>
      <c r="Z20" s="628"/>
      <c r="AA20" s="628"/>
      <c r="AB20" s="628"/>
      <c r="AC20" s="628"/>
      <c r="AD20" s="628"/>
      <c r="AE20" s="628"/>
      <c r="AF20" s="628"/>
      <c r="AG20" s="628"/>
      <c r="AH20" s="112"/>
      <c r="AI20" s="112"/>
      <c r="AJ20" s="112"/>
    </row>
    <row r="21" spans="1:36">
      <c r="A21" s="112"/>
      <c r="B21" s="112"/>
      <c r="C21" s="112"/>
      <c r="D21" s="112"/>
      <c r="E21" s="112"/>
      <c r="F21" s="112"/>
      <c r="G21" s="112"/>
      <c r="H21" s="112"/>
      <c r="I21" s="112"/>
      <c r="J21" s="112"/>
      <c r="K21" s="112"/>
      <c r="L21" s="112"/>
      <c r="M21" s="112"/>
      <c r="N21" s="112"/>
      <c r="O21" s="112"/>
      <c r="P21" s="112"/>
      <c r="Q21" s="112"/>
      <c r="R21" s="112"/>
      <c r="S21" s="112"/>
      <c r="T21" s="112"/>
      <c r="U21" s="112"/>
      <c r="V21" s="112"/>
      <c r="W21" s="112"/>
      <c r="X21" s="112"/>
      <c r="Y21" s="112"/>
      <c r="Z21" s="112"/>
      <c r="AA21" s="112"/>
      <c r="AB21" s="112"/>
      <c r="AC21" s="112"/>
      <c r="AD21" s="112"/>
      <c r="AE21" s="112"/>
      <c r="AF21" s="112"/>
      <c r="AG21" s="112"/>
      <c r="AH21" s="112"/>
      <c r="AI21" s="112"/>
      <c r="AJ21" s="112"/>
    </row>
    <row r="22" spans="1:36">
      <c r="A22" s="112"/>
      <c r="B22" s="609" t="s">
        <v>332</v>
      </c>
      <c r="C22" s="610"/>
      <c r="D22" s="610"/>
      <c r="E22" s="610"/>
      <c r="F22" s="610"/>
      <c r="G22" s="610"/>
      <c r="H22" s="610"/>
      <c r="I22" s="610"/>
      <c r="J22" s="610"/>
      <c r="K22" s="610"/>
      <c r="L22" s="610"/>
      <c r="M22" s="610"/>
      <c r="N22" s="610"/>
      <c r="O22" s="610"/>
      <c r="P22" s="610"/>
      <c r="Q22" s="610"/>
      <c r="R22" s="610"/>
      <c r="S22" s="610"/>
      <c r="T22" s="610"/>
      <c r="U22" s="610"/>
      <c r="V22" s="610"/>
      <c r="W22" s="610"/>
      <c r="X22" s="610"/>
      <c r="Y22" s="610"/>
      <c r="Z22" s="610"/>
      <c r="AA22" s="610"/>
      <c r="AB22" s="610"/>
      <c r="AC22" s="610"/>
      <c r="AD22" s="610"/>
      <c r="AE22" s="610"/>
      <c r="AF22" s="610"/>
      <c r="AG22" s="611"/>
      <c r="AH22" s="112"/>
      <c r="AI22" s="112"/>
      <c r="AJ22" s="112"/>
    </row>
    <row r="23" spans="1:36">
      <c r="A23" s="112"/>
      <c r="B23" s="112"/>
      <c r="C23" s="112"/>
      <c r="D23" s="112"/>
      <c r="E23" s="112"/>
      <c r="F23" s="112"/>
      <c r="G23" s="112"/>
      <c r="H23" s="112"/>
      <c r="I23" s="112"/>
      <c r="J23" s="112"/>
      <c r="K23" s="112"/>
      <c r="L23" s="112"/>
      <c r="M23" s="112"/>
      <c r="N23" s="112"/>
      <c r="O23" s="112"/>
      <c r="P23" s="112"/>
      <c r="Q23" s="112"/>
      <c r="R23" s="112"/>
      <c r="S23" s="112"/>
      <c r="T23" s="112"/>
      <c r="U23" s="112"/>
      <c r="V23" s="112"/>
      <c r="W23" s="112"/>
      <c r="X23" s="112"/>
      <c r="Y23" s="112"/>
      <c r="Z23" s="112"/>
      <c r="AA23" s="112"/>
      <c r="AB23" s="112"/>
      <c r="AC23" s="112"/>
      <c r="AD23" s="112"/>
      <c r="AE23" s="112"/>
      <c r="AF23" s="112"/>
      <c r="AG23" s="112"/>
      <c r="AH23" s="112"/>
      <c r="AI23" s="112"/>
      <c r="AJ23" s="112"/>
    </row>
    <row r="24" spans="1:36" ht="9.9499999999999993" customHeight="1">
      <c r="A24" s="112"/>
      <c r="B24" s="612" t="s">
        <v>967</v>
      </c>
      <c r="C24" s="613"/>
      <c r="D24" s="613"/>
      <c r="E24" s="613"/>
      <c r="F24" s="613"/>
      <c r="G24" s="613"/>
      <c r="H24" s="613"/>
      <c r="I24" s="613"/>
      <c r="J24" s="613"/>
      <c r="K24" s="613"/>
      <c r="L24" s="613"/>
      <c r="M24" s="613"/>
      <c r="N24" s="613"/>
      <c r="O24" s="613"/>
      <c r="P24" s="613"/>
      <c r="Q24" s="613"/>
      <c r="R24" s="613"/>
      <c r="S24" s="613"/>
      <c r="T24" s="613"/>
      <c r="U24" s="613"/>
      <c r="V24" s="613"/>
      <c r="W24" s="613"/>
      <c r="X24" s="613"/>
      <c r="Y24" s="613"/>
      <c r="Z24" s="613"/>
      <c r="AA24" s="613"/>
      <c r="AB24" s="613"/>
      <c r="AC24" s="613"/>
      <c r="AD24" s="613"/>
      <c r="AE24" s="613"/>
      <c r="AF24" s="613"/>
      <c r="AG24" s="614"/>
      <c r="AH24" s="112"/>
      <c r="AI24" s="112"/>
      <c r="AJ24" s="112"/>
    </row>
    <row r="25" spans="1:36" ht="9.9499999999999993" customHeight="1">
      <c r="A25" s="112"/>
      <c r="B25" s="615"/>
      <c r="C25" s="616"/>
      <c r="D25" s="616"/>
      <c r="E25" s="616"/>
      <c r="F25" s="616"/>
      <c r="G25" s="616"/>
      <c r="H25" s="616"/>
      <c r="I25" s="616"/>
      <c r="J25" s="616"/>
      <c r="K25" s="616"/>
      <c r="L25" s="616"/>
      <c r="M25" s="616"/>
      <c r="N25" s="616"/>
      <c r="O25" s="616"/>
      <c r="P25" s="616"/>
      <c r="Q25" s="616"/>
      <c r="R25" s="616"/>
      <c r="S25" s="616"/>
      <c r="T25" s="616"/>
      <c r="U25" s="616"/>
      <c r="V25" s="616"/>
      <c r="W25" s="616"/>
      <c r="X25" s="616"/>
      <c r="Y25" s="616"/>
      <c r="Z25" s="616"/>
      <c r="AA25" s="616"/>
      <c r="AB25" s="616"/>
      <c r="AC25" s="616"/>
      <c r="AD25" s="616"/>
      <c r="AE25" s="616"/>
      <c r="AF25" s="616"/>
      <c r="AG25" s="617"/>
      <c r="AH25" s="112"/>
      <c r="AI25" s="112"/>
      <c r="AJ25" s="112"/>
    </row>
    <row r="26" spans="1:36" ht="9.9499999999999993" customHeight="1">
      <c r="A26" s="112"/>
      <c r="B26" s="615"/>
      <c r="C26" s="616"/>
      <c r="D26" s="616"/>
      <c r="E26" s="616"/>
      <c r="F26" s="616"/>
      <c r="G26" s="616"/>
      <c r="H26" s="616"/>
      <c r="I26" s="616"/>
      <c r="J26" s="616"/>
      <c r="K26" s="616"/>
      <c r="L26" s="616"/>
      <c r="M26" s="616"/>
      <c r="N26" s="616"/>
      <c r="O26" s="616"/>
      <c r="P26" s="616"/>
      <c r="Q26" s="616"/>
      <c r="R26" s="616"/>
      <c r="S26" s="616"/>
      <c r="T26" s="616"/>
      <c r="U26" s="616"/>
      <c r="V26" s="616"/>
      <c r="W26" s="616"/>
      <c r="X26" s="616"/>
      <c r="Y26" s="616"/>
      <c r="Z26" s="616"/>
      <c r="AA26" s="616"/>
      <c r="AB26" s="616"/>
      <c r="AC26" s="616"/>
      <c r="AD26" s="616"/>
      <c r="AE26" s="616"/>
      <c r="AF26" s="616"/>
      <c r="AG26" s="617"/>
      <c r="AH26" s="112"/>
      <c r="AI26" s="112"/>
      <c r="AJ26" s="112"/>
    </row>
    <row r="27" spans="1:36" ht="9.9499999999999993" customHeight="1">
      <c r="A27" s="112"/>
      <c r="B27" s="615"/>
      <c r="C27" s="616"/>
      <c r="D27" s="616"/>
      <c r="E27" s="616"/>
      <c r="F27" s="616"/>
      <c r="G27" s="616"/>
      <c r="H27" s="616"/>
      <c r="I27" s="616"/>
      <c r="J27" s="616"/>
      <c r="K27" s="616"/>
      <c r="L27" s="616"/>
      <c r="M27" s="616"/>
      <c r="N27" s="616"/>
      <c r="O27" s="616"/>
      <c r="P27" s="616"/>
      <c r="Q27" s="616"/>
      <c r="R27" s="616"/>
      <c r="S27" s="616"/>
      <c r="T27" s="616"/>
      <c r="U27" s="616"/>
      <c r="V27" s="616"/>
      <c r="W27" s="616"/>
      <c r="X27" s="616"/>
      <c r="Y27" s="616"/>
      <c r="Z27" s="616"/>
      <c r="AA27" s="616"/>
      <c r="AB27" s="616"/>
      <c r="AC27" s="616"/>
      <c r="AD27" s="616"/>
      <c r="AE27" s="616"/>
      <c r="AF27" s="616"/>
      <c r="AG27" s="617"/>
      <c r="AH27" s="112"/>
      <c r="AI27" s="112"/>
      <c r="AJ27" s="112"/>
    </row>
    <row r="28" spans="1:36" ht="9.9499999999999993" customHeight="1">
      <c r="A28" s="112"/>
      <c r="B28" s="615"/>
      <c r="C28" s="616"/>
      <c r="D28" s="616"/>
      <c r="E28" s="616"/>
      <c r="F28" s="616"/>
      <c r="G28" s="616"/>
      <c r="H28" s="616"/>
      <c r="I28" s="616"/>
      <c r="J28" s="616"/>
      <c r="K28" s="616"/>
      <c r="L28" s="616"/>
      <c r="M28" s="616"/>
      <c r="N28" s="616"/>
      <c r="O28" s="616"/>
      <c r="P28" s="616"/>
      <c r="Q28" s="616"/>
      <c r="R28" s="616"/>
      <c r="S28" s="616"/>
      <c r="T28" s="616"/>
      <c r="U28" s="616"/>
      <c r="V28" s="616"/>
      <c r="W28" s="616"/>
      <c r="X28" s="616"/>
      <c r="Y28" s="616"/>
      <c r="Z28" s="616"/>
      <c r="AA28" s="616"/>
      <c r="AB28" s="616"/>
      <c r="AC28" s="616"/>
      <c r="AD28" s="616"/>
      <c r="AE28" s="616"/>
      <c r="AF28" s="616"/>
      <c r="AG28" s="617"/>
      <c r="AH28" s="112"/>
      <c r="AI28" s="112"/>
      <c r="AJ28" s="112"/>
    </row>
    <row r="29" spans="1:36" ht="9.9499999999999993" customHeight="1">
      <c r="A29" s="112"/>
      <c r="B29" s="615"/>
      <c r="C29" s="616"/>
      <c r="D29" s="616"/>
      <c r="E29" s="616"/>
      <c r="F29" s="616"/>
      <c r="G29" s="616"/>
      <c r="H29" s="616"/>
      <c r="I29" s="616"/>
      <c r="J29" s="616"/>
      <c r="K29" s="616"/>
      <c r="L29" s="616"/>
      <c r="M29" s="616"/>
      <c r="N29" s="616"/>
      <c r="O29" s="616"/>
      <c r="P29" s="616"/>
      <c r="Q29" s="616"/>
      <c r="R29" s="616"/>
      <c r="S29" s="616"/>
      <c r="T29" s="616"/>
      <c r="U29" s="616"/>
      <c r="V29" s="616"/>
      <c r="W29" s="616"/>
      <c r="X29" s="616"/>
      <c r="Y29" s="616"/>
      <c r="Z29" s="616"/>
      <c r="AA29" s="616"/>
      <c r="AB29" s="616"/>
      <c r="AC29" s="616"/>
      <c r="AD29" s="616"/>
      <c r="AE29" s="616"/>
      <c r="AF29" s="616"/>
      <c r="AG29" s="617"/>
      <c r="AH29" s="112"/>
      <c r="AI29" s="112"/>
      <c r="AJ29" s="112"/>
    </row>
    <row r="30" spans="1:36" ht="9.9499999999999993" customHeight="1">
      <c r="A30" s="112"/>
      <c r="B30" s="615"/>
      <c r="C30" s="616"/>
      <c r="D30" s="616"/>
      <c r="E30" s="616"/>
      <c r="F30" s="616"/>
      <c r="G30" s="616"/>
      <c r="H30" s="616"/>
      <c r="I30" s="616"/>
      <c r="J30" s="616"/>
      <c r="K30" s="616"/>
      <c r="L30" s="616"/>
      <c r="M30" s="616"/>
      <c r="N30" s="616"/>
      <c r="O30" s="616"/>
      <c r="P30" s="616"/>
      <c r="Q30" s="616"/>
      <c r="R30" s="616"/>
      <c r="S30" s="616"/>
      <c r="T30" s="616"/>
      <c r="U30" s="616"/>
      <c r="V30" s="616"/>
      <c r="W30" s="616"/>
      <c r="X30" s="616"/>
      <c r="Y30" s="616"/>
      <c r="Z30" s="616"/>
      <c r="AA30" s="616"/>
      <c r="AB30" s="616"/>
      <c r="AC30" s="616"/>
      <c r="AD30" s="616"/>
      <c r="AE30" s="616"/>
      <c r="AF30" s="616"/>
      <c r="AG30" s="617"/>
      <c r="AH30" s="112"/>
      <c r="AI30" s="112"/>
      <c r="AJ30" s="112"/>
    </row>
    <row r="31" spans="1:36" ht="9.9499999999999993" customHeight="1">
      <c r="A31" s="112"/>
      <c r="B31" s="615"/>
      <c r="C31" s="616"/>
      <c r="D31" s="616"/>
      <c r="E31" s="616"/>
      <c r="F31" s="616"/>
      <c r="G31" s="616"/>
      <c r="H31" s="616"/>
      <c r="I31" s="616"/>
      <c r="J31" s="616"/>
      <c r="K31" s="616"/>
      <c r="L31" s="616"/>
      <c r="M31" s="616"/>
      <c r="N31" s="616"/>
      <c r="O31" s="616"/>
      <c r="P31" s="616"/>
      <c r="Q31" s="616"/>
      <c r="R31" s="616"/>
      <c r="S31" s="616"/>
      <c r="T31" s="616"/>
      <c r="U31" s="616"/>
      <c r="V31" s="616"/>
      <c r="W31" s="616"/>
      <c r="X31" s="616"/>
      <c r="Y31" s="616"/>
      <c r="Z31" s="616"/>
      <c r="AA31" s="616"/>
      <c r="AB31" s="616"/>
      <c r="AC31" s="616"/>
      <c r="AD31" s="616"/>
      <c r="AE31" s="616"/>
      <c r="AF31" s="616"/>
      <c r="AG31" s="617"/>
      <c r="AH31" s="112"/>
      <c r="AI31" s="112"/>
      <c r="AJ31" s="112"/>
    </row>
    <row r="32" spans="1:36" ht="9.9499999999999993" customHeight="1">
      <c r="A32" s="112"/>
      <c r="B32" s="615"/>
      <c r="C32" s="616"/>
      <c r="D32" s="616"/>
      <c r="E32" s="616"/>
      <c r="F32" s="616"/>
      <c r="G32" s="616"/>
      <c r="H32" s="616"/>
      <c r="I32" s="616"/>
      <c r="J32" s="616"/>
      <c r="K32" s="616"/>
      <c r="L32" s="616"/>
      <c r="M32" s="616"/>
      <c r="N32" s="616"/>
      <c r="O32" s="616"/>
      <c r="P32" s="616"/>
      <c r="Q32" s="616"/>
      <c r="R32" s="616"/>
      <c r="S32" s="616"/>
      <c r="T32" s="616"/>
      <c r="U32" s="616"/>
      <c r="V32" s="616"/>
      <c r="W32" s="616"/>
      <c r="X32" s="616"/>
      <c r="Y32" s="616"/>
      <c r="Z32" s="616"/>
      <c r="AA32" s="616"/>
      <c r="AB32" s="616"/>
      <c r="AC32" s="616"/>
      <c r="AD32" s="616"/>
      <c r="AE32" s="616"/>
      <c r="AF32" s="616"/>
      <c r="AG32" s="617"/>
      <c r="AH32" s="112"/>
      <c r="AI32" s="112"/>
      <c r="AJ32" s="112"/>
    </row>
    <row r="33" spans="1:36" ht="9.9499999999999993" customHeight="1">
      <c r="A33" s="112"/>
      <c r="B33" s="618"/>
      <c r="C33" s="619"/>
      <c r="D33" s="619"/>
      <c r="E33" s="619"/>
      <c r="F33" s="619"/>
      <c r="G33" s="619"/>
      <c r="H33" s="619"/>
      <c r="I33" s="619"/>
      <c r="J33" s="619"/>
      <c r="K33" s="619"/>
      <c r="L33" s="619"/>
      <c r="M33" s="619"/>
      <c r="N33" s="619"/>
      <c r="O33" s="619"/>
      <c r="P33" s="619"/>
      <c r="Q33" s="619"/>
      <c r="R33" s="619"/>
      <c r="S33" s="619"/>
      <c r="T33" s="619"/>
      <c r="U33" s="619"/>
      <c r="V33" s="619"/>
      <c r="W33" s="619"/>
      <c r="X33" s="619"/>
      <c r="Y33" s="619"/>
      <c r="Z33" s="619"/>
      <c r="AA33" s="619"/>
      <c r="AB33" s="619"/>
      <c r="AC33" s="619"/>
      <c r="AD33" s="619"/>
      <c r="AE33" s="619"/>
      <c r="AF33" s="619"/>
      <c r="AG33" s="620"/>
      <c r="AH33" s="112"/>
      <c r="AI33" s="112"/>
      <c r="AJ33" s="112"/>
    </row>
    <row r="34" spans="1:36">
      <c r="A34" s="112"/>
      <c r="B34" s="11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c r="AB34" s="112"/>
      <c r="AC34" s="112"/>
      <c r="AD34" s="112"/>
      <c r="AE34" s="112"/>
      <c r="AF34" s="112"/>
      <c r="AG34" s="112"/>
      <c r="AH34" s="112"/>
      <c r="AI34" s="112"/>
      <c r="AJ34" s="112"/>
    </row>
    <row r="35" spans="1:36">
      <c r="A35" s="112"/>
      <c r="B35" s="11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c r="AB35" s="112"/>
      <c r="AC35" s="112"/>
      <c r="AD35" s="112"/>
      <c r="AE35" s="112"/>
      <c r="AF35" s="112"/>
      <c r="AG35" s="112"/>
      <c r="AH35" s="112"/>
      <c r="AI35" s="112"/>
      <c r="AJ35" s="112"/>
    </row>
    <row r="36" spans="1:36" ht="21">
      <c r="A36" s="112"/>
      <c r="B36" s="118" t="s">
        <v>74</v>
      </c>
      <c r="C36" s="119"/>
      <c r="D36" s="119"/>
      <c r="E36" s="603">
        <v>11</v>
      </c>
      <c r="F36" s="603"/>
      <c r="G36" s="120"/>
      <c r="H36" s="120"/>
      <c r="I36" s="120"/>
      <c r="J36" s="120"/>
      <c r="K36" s="120"/>
      <c r="L36" s="120"/>
      <c r="M36" s="120"/>
      <c r="N36" s="120"/>
      <c r="O36" s="112"/>
      <c r="P36" s="112"/>
      <c r="Q36" s="112"/>
      <c r="R36" s="112"/>
      <c r="S36" s="112"/>
      <c r="T36" s="112"/>
      <c r="U36" s="112"/>
      <c r="V36" s="112"/>
      <c r="W36" s="112"/>
      <c r="X36" s="112"/>
      <c r="Y36" s="112"/>
      <c r="Z36" s="112"/>
      <c r="AA36" s="112"/>
      <c r="AB36" s="112"/>
      <c r="AC36" s="112"/>
      <c r="AD36" s="112"/>
      <c r="AE36" s="112"/>
      <c r="AF36" s="112"/>
      <c r="AG36" s="112"/>
      <c r="AH36" s="112"/>
      <c r="AI36" s="112"/>
      <c r="AJ36" s="112"/>
    </row>
    <row r="37" spans="1:36">
      <c r="A37" s="112"/>
      <c r="B37" s="112" t="s">
        <v>1</v>
      </c>
      <c r="C37" s="112"/>
      <c r="D37" s="112"/>
      <c r="E37" s="112"/>
      <c r="G37" s="112" t="str">
        <f>I7</f>
        <v>SRIKANTH KOMMULA</v>
      </c>
      <c r="H37" s="118"/>
      <c r="I37" s="118"/>
      <c r="J37" s="118"/>
      <c r="K37" s="118"/>
      <c r="L37" s="118"/>
      <c r="M37" s="118"/>
      <c r="N37" s="118"/>
      <c r="O37" s="118"/>
      <c r="P37" s="118"/>
      <c r="Q37" s="112"/>
      <c r="R37" s="112"/>
      <c r="S37" s="112"/>
      <c r="T37" s="112"/>
      <c r="U37" s="112"/>
      <c r="V37" s="112"/>
      <c r="W37" s="112"/>
      <c r="X37" s="112"/>
      <c r="Y37" s="112"/>
      <c r="Z37" s="112"/>
      <c r="AA37" s="112"/>
      <c r="AB37" s="112"/>
      <c r="AC37" s="112"/>
      <c r="AD37" s="112"/>
      <c r="AE37" s="112"/>
      <c r="AF37" s="112"/>
      <c r="AG37" s="112"/>
      <c r="AH37" s="112"/>
      <c r="AI37" s="112"/>
      <c r="AJ37" s="112"/>
    </row>
    <row r="38" spans="1:36">
      <c r="A38" s="112"/>
      <c r="B38" s="118" t="s">
        <v>85</v>
      </c>
      <c r="C38" s="119"/>
      <c r="D38" s="112"/>
      <c r="E38" s="112"/>
      <c r="F38" s="112"/>
      <c r="G38" s="621" t="str">
        <f ca="1">UPPER(TEXT(TODAY(),"DD-MMM-YYYY"))</f>
        <v>30-NOV-2022</v>
      </c>
      <c r="H38" s="621"/>
      <c r="I38" s="621"/>
      <c r="J38" s="621"/>
      <c r="K38" s="621"/>
      <c r="L38" s="621"/>
      <c r="M38" s="112"/>
      <c r="N38" s="112"/>
      <c r="O38" s="112"/>
      <c r="P38" s="112"/>
      <c r="Q38" s="112"/>
      <c r="R38" s="112"/>
      <c r="S38" s="112"/>
      <c r="T38" s="112"/>
      <c r="U38" s="112"/>
      <c r="V38" s="112"/>
      <c r="W38" s="112"/>
      <c r="X38" s="112"/>
      <c r="Y38" s="112"/>
      <c r="Z38" s="112"/>
      <c r="AA38" s="112"/>
      <c r="AB38" s="112"/>
      <c r="AC38" s="112"/>
      <c r="AD38" s="112"/>
      <c r="AE38" s="112"/>
      <c r="AF38" s="112"/>
      <c r="AG38" s="112"/>
      <c r="AH38" s="112"/>
      <c r="AI38" s="112"/>
      <c r="AJ38" s="112"/>
    </row>
    <row r="39" spans="1:36">
      <c r="A39" s="112"/>
      <c r="B39" s="11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c r="AB39" s="112"/>
      <c r="AC39" s="112"/>
      <c r="AD39" s="112"/>
      <c r="AE39" s="112"/>
      <c r="AF39" s="112"/>
      <c r="AG39" s="112"/>
      <c r="AH39" s="112"/>
      <c r="AI39" s="112"/>
      <c r="AJ39" s="112"/>
    </row>
    <row r="40" spans="1:36">
      <c r="A40" s="112"/>
      <c r="B40" s="11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c r="AB40" s="112"/>
      <c r="AC40" s="112"/>
      <c r="AD40" s="112"/>
      <c r="AE40" s="112"/>
      <c r="AF40" s="112"/>
      <c r="AG40" s="112"/>
      <c r="AH40" s="112"/>
      <c r="AI40" s="112"/>
      <c r="AJ40" s="112"/>
    </row>
    <row r="41" spans="1:36">
      <c r="A41" s="112"/>
      <c r="B41" s="112"/>
      <c r="C41" s="112"/>
      <c r="D41" s="112"/>
      <c r="E41" s="112"/>
      <c r="F41" s="112"/>
      <c r="G41" s="112"/>
      <c r="H41" s="112"/>
      <c r="I41" s="112"/>
      <c r="J41" s="112"/>
      <c r="K41" s="112"/>
      <c r="L41" s="112"/>
      <c r="M41" s="112"/>
      <c r="N41" s="112"/>
      <c r="O41" s="112"/>
      <c r="P41" s="121">
        <v>18</v>
      </c>
      <c r="Q41" s="112"/>
      <c r="R41" s="112"/>
      <c r="S41" s="112"/>
      <c r="T41" s="112"/>
      <c r="U41" s="112"/>
      <c r="V41" s="112"/>
      <c r="W41" s="112"/>
      <c r="X41" s="112"/>
      <c r="Y41" s="112"/>
      <c r="Z41" s="112"/>
      <c r="AA41" s="112"/>
      <c r="AB41" s="112"/>
      <c r="AC41" s="112"/>
      <c r="AD41" s="112"/>
      <c r="AE41" s="112"/>
      <c r="AF41" s="112"/>
      <c r="AG41" s="112"/>
      <c r="AH41" s="112"/>
      <c r="AI41" s="112"/>
      <c r="AJ41" s="112"/>
    </row>
    <row r="42" spans="1:36" hidden="1">
      <c r="A42" s="112"/>
      <c r="B42" s="112"/>
      <c r="C42" s="112"/>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112"/>
      <c r="AB42" s="112"/>
      <c r="AC42" s="112"/>
      <c r="AD42" s="112"/>
      <c r="AE42" s="112"/>
      <c r="AF42" s="112"/>
      <c r="AG42" s="112"/>
      <c r="AH42" s="112"/>
      <c r="AI42" s="112"/>
      <c r="AJ42" s="112"/>
    </row>
    <row r="43" spans="1:36" hidden="1">
      <c r="A43" s="112"/>
      <c r="B43" s="112"/>
      <c r="C43" s="112"/>
      <c r="D43" s="112"/>
      <c r="E43" s="112"/>
      <c r="F43" s="112"/>
      <c r="G43" s="112"/>
      <c r="H43" s="112"/>
      <c r="I43" s="112"/>
      <c r="J43" s="112"/>
      <c r="K43" s="112"/>
      <c r="L43" s="112"/>
      <c r="M43" s="112"/>
      <c r="N43" s="112"/>
      <c r="O43" s="112"/>
      <c r="P43" s="112"/>
      <c r="Q43" s="112"/>
      <c r="R43" s="112"/>
      <c r="S43" s="112"/>
      <c r="T43" s="112"/>
      <c r="U43" s="112"/>
      <c r="V43" s="112"/>
      <c r="W43" s="112"/>
      <c r="X43" s="112"/>
      <c r="Y43" s="112"/>
      <c r="Z43" s="112"/>
      <c r="AA43" s="112"/>
      <c r="AB43" s="112"/>
      <c r="AC43" s="112"/>
      <c r="AD43" s="112"/>
      <c r="AE43" s="112"/>
      <c r="AF43" s="112"/>
      <c r="AG43" s="112"/>
      <c r="AH43" s="112"/>
      <c r="AI43" s="112"/>
      <c r="AJ43" s="112"/>
    </row>
    <row r="44" spans="1:36" hidden="1">
      <c r="A44" s="112"/>
      <c r="B44" s="112"/>
      <c r="C44" s="112"/>
      <c r="D44" s="112"/>
      <c r="E44" s="112"/>
      <c r="F44" s="112"/>
      <c r="G44" s="112"/>
      <c r="H44" s="112"/>
      <c r="I44" s="112"/>
      <c r="J44" s="112"/>
      <c r="K44" s="112"/>
      <c r="L44" s="112"/>
      <c r="M44" s="112"/>
      <c r="N44" s="112"/>
      <c r="O44" s="112"/>
      <c r="P44" s="112"/>
      <c r="Q44" s="112"/>
      <c r="R44" s="112"/>
      <c r="S44" s="112"/>
      <c r="T44" s="112"/>
      <c r="U44" s="112"/>
      <c r="V44" s="112"/>
      <c r="W44" s="112"/>
      <c r="X44" s="112"/>
      <c r="Y44" s="112"/>
      <c r="Z44" s="112"/>
      <c r="AA44" s="112"/>
      <c r="AB44" s="112"/>
      <c r="AC44" s="112"/>
      <c r="AD44" s="112"/>
      <c r="AE44" s="112"/>
      <c r="AF44" s="112"/>
      <c r="AG44" s="112"/>
      <c r="AH44" s="112"/>
      <c r="AI44" s="112"/>
      <c r="AJ44" s="112"/>
    </row>
    <row r="45" spans="1:36" hidden="1">
      <c r="A45" s="112"/>
      <c r="B45" s="112"/>
      <c r="C45" s="112"/>
      <c r="D45" s="112"/>
      <c r="E45" s="112"/>
      <c r="F45" s="112"/>
      <c r="G45" s="112"/>
      <c r="H45" s="112"/>
      <c r="I45" s="112"/>
      <c r="J45" s="112"/>
      <c r="K45" s="112"/>
      <c r="L45" s="112"/>
      <c r="M45" s="112"/>
      <c r="N45" s="112"/>
      <c r="O45" s="112"/>
      <c r="P45" s="112"/>
      <c r="Q45" s="112"/>
      <c r="R45" s="112"/>
      <c r="S45" s="112"/>
      <c r="T45" s="112"/>
      <c r="U45" s="112"/>
      <c r="V45" s="112"/>
      <c r="W45" s="112"/>
      <c r="X45" s="112"/>
      <c r="Y45" s="112"/>
      <c r="Z45" s="112"/>
      <c r="AA45" s="112"/>
      <c r="AB45" s="112"/>
      <c r="AC45" s="112"/>
      <c r="AD45" s="112"/>
      <c r="AE45" s="112"/>
      <c r="AF45" s="112"/>
      <c r="AG45" s="112"/>
      <c r="AH45" s="112"/>
      <c r="AI45" s="112"/>
      <c r="AJ45" s="112"/>
    </row>
    <row r="46" spans="1:36" hidden="1">
      <c r="A46" s="112"/>
      <c r="B46" s="112"/>
      <c r="C46" s="1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12"/>
      <c r="AB46" s="112"/>
      <c r="AC46" s="112"/>
      <c r="AD46" s="112"/>
      <c r="AE46" s="112"/>
      <c r="AF46" s="112"/>
      <c r="AG46" s="112"/>
      <c r="AH46" s="112"/>
      <c r="AI46" s="112"/>
      <c r="AJ46" s="112"/>
    </row>
    <row r="47" spans="1:36" hidden="1">
      <c r="A47" s="112"/>
      <c r="B47" s="112"/>
      <c r="C47" s="112"/>
      <c r="D47" s="112"/>
      <c r="E47" s="112"/>
      <c r="F47" s="112"/>
      <c r="G47" s="112"/>
      <c r="H47" s="112"/>
      <c r="I47" s="112"/>
      <c r="J47" s="112"/>
      <c r="K47" s="112"/>
      <c r="L47" s="112"/>
      <c r="M47" s="112"/>
      <c r="N47" s="112"/>
      <c r="O47" s="112"/>
      <c r="P47" s="112"/>
      <c r="Q47" s="112"/>
      <c r="R47" s="112"/>
      <c r="S47" s="112"/>
      <c r="T47" s="112"/>
      <c r="U47" s="112"/>
      <c r="V47" s="112"/>
      <c r="W47" s="112"/>
      <c r="X47" s="112"/>
      <c r="Y47" s="112"/>
      <c r="Z47" s="112"/>
      <c r="AA47" s="112"/>
      <c r="AB47" s="112"/>
      <c r="AC47" s="112"/>
      <c r="AD47" s="112"/>
      <c r="AE47" s="112"/>
      <c r="AF47" s="112"/>
      <c r="AG47" s="112"/>
      <c r="AH47" s="112"/>
      <c r="AI47" s="112"/>
      <c r="AJ47" s="112"/>
    </row>
    <row r="48" spans="1:36" hidden="1">
      <c r="A48" s="112"/>
      <c r="B48" s="112"/>
      <c r="C48" s="112"/>
      <c r="D48" s="112"/>
      <c r="E48" s="112"/>
      <c r="F48" s="112"/>
      <c r="G48" s="112"/>
      <c r="H48" s="112"/>
      <c r="I48" s="112"/>
      <c r="J48" s="112"/>
      <c r="K48" s="112"/>
      <c r="L48" s="112"/>
      <c r="M48" s="112"/>
      <c r="N48" s="112"/>
      <c r="O48" s="112"/>
      <c r="P48" s="112"/>
      <c r="Q48" s="112"/>
      <c r="R48" s="112"/>
      <c r="S48" s="112"/>
      <c r="T48" s="112"/>
      <c r="U48" s="112"/>
      <c r="V48" s="112"/>
      <c r="W48" s="112"/>
      <c r="X48" s="112"/>
      <c r="Y48" s="112"/>
      <c r="Z48" s="112"/>
      <c r="AA48" s="112"/>
      <c r="AB48" s="112"/>
      <c r="AC48" s="112"/>
      <c r="AD48" s="112"/>
      <c r="AE48" s="112"/>
      <c r="AF48" s="112"/>
      <c r="AG48" s="112"/>
      <c r="AH48" s="112"/>
      <c r="AI48" s="112"/>
      <c r="AJ48" s="112"/>
    </row>
    <row r="49" spans="1:36" hidden="1">
      <c r="A49" s="112"/>
      <c r="B49" s="112"/>
      <c r="C49" s="112"/>
      <c r="D49" s="112"/>
      <c r="E49" s="112"/>
      <c r="F49" s="112"/>
      <c r="G49" s="112"/>
      <c r="H49" s="112"/>
      <c r="I49" s="112"/>
      <c r="J49" s="112"/>
      <c r="K49" s="112"/>
      <c r="L49" s="112"/>
      <c r="M49" s="112"/>
      <c r="N49" s="112"/>
      <c r="O49" s="112"/>
      <c r="P49" s="112"/>
      <c r="Q49" s="112"/>
      <c r="R49" s="112"/>
      <c r="S49" s="112"/>
      <c r="T49" s="112"/>
      <c r="U49" s="112"/>
      <c r="V49" s="112"/>
      <c r="W49" s="112"/>
      <c r="X49" s="112"/>
      <c r="Y49" s="112"/>
      <c r="Z49" s="112"/>
      <c r="AA49" s="112"/>
      <c r="AB49" s="112"/>
      <c r="AC49" s="112"/>
      <c r="AD49" s="112"/>
      <c r="AE49" s="112"/>
      <c r="AF49" s="112"/>
      <c r="AG49" s="112"/>
      <c r="AH49" s="112"/>
      <c r="AI49" s="112"/>
      <c r="AJ49" s="112"/>
    </row>
    <row r="50" spans="1:36" hidden="1">
      <c r="A50" s="112"/>
      <c r="B50" s="112"/>
      <c r="C50" s="112"/>
      <c r="D50" s="112"/>
      <c r="E50" s="112"/>
      <c r="F50" s="112"/>
      <c r="G50" s="112"/>
      <c r="H50" s="112"/>
      <c r="I50" s="112"/>
      <c r="J50" s="112"/>
      <c r="K50" s="112"/>
      <c r="L50" s="112"/>
      <c r="M50" s="112"/>
      <c r="N50" s="112"/>
      <c r="O50" s="112"/>
      <c r="P50" s="112"/>
      <c r="Q50" s="112"/>
      <c r="R50" s="112"/>
      <c r="S50" s="112"/>
      <c r="T50" s="112"/>
      <c r="U50" s="112"/>
      <c r="V50" s="112"/>
      <c r="W50" s="112"/>
      <c r="X50" s="112"/>
      <c r="Y50" s="112"/>
      <c r="Z50" s="112"/>
      <c r="AA50" s="112"/>
      <c r="AB50" s="112"/>
      <c r="AC50" s="112"/>
      <c r="AD50" s="112"/>
      <c r="AE50" s="112"/>
      <c r="AF50" s="112"/>
      <c r="AG50" s="112"/>
      <c r="AH50" s="112"/>
      <c r="AI50" s="112"/>
      <c r="AJ50" s="112"/>
    </row>
    <row r="51" spans="1:36" hidden="1">
      <c r="A51" s="112"/>
      <c r="B51" s="112"/>
      <c r="C51" s="112"/>
      <c r="D51" s="112"/>
      <c r="E51" s="112"/>
      <c r="F51" s="112"/>
      <c r="G51" s="112"/>
      <c r="H51" s="112"/>
      <c r="I51" s="112"/>
      <c r="J51" s="112"/>
      <c r="K51" s="112"/>
      <c r="L51" s="112"/>
      <c r="M51" s="112"/>
      <c r="N51" s="112"/>
      <c r="O51" s="112"/>
      <c r="P51" s="112"/>
      <c r="Q51" s="112"/>
      <c r="R51" s="112"/>
      <c r="S51" s="112"/>
      <c r="T51" s="112"/>
      <c r="U51" s="112"/>
      <c r="V51" s="112"/>
      <c r="W51" s="112"/>
      <c r="X51" s="112"/>
      <c r="Y51" s="112"/>
      <c r="Z51" s="112"/>
      <c r="AA51" s="112"/>
      <c r="AB51" s="112"/>
      <c r="AC51" s="112"/>
      <c r="AD51" s="112"/>
      <c r="AE51" s="112"/>
      <c r="AF51" s="112"/>
      <c r="AG51" s="112"/>
      <c r="AH51" s="112"/>
      <c r="AI51" s="112"/>
      <c r="AJ51" s="112"/>
    </row>
    <row r="52" spans="1:36" hidden="1">
      <c r="A52" s="112"/>
      <c r="B52" s="112"/>
      <c r="C52" s="112"/>
      <c r="D52" s="112"/>
      <c r="E52" s="112"/>
      <c r="F52" s="112"/>
      <c r="G52" s="112"/>
      <c r="H52" s="112"/>
      <c r="I52" s="112"/>
      <c r="J52" s="112"/>
      <c r="K52" s="112"/>
      <c r="L52" s="112"/>
      <c r="M52" s="112"/>
      <c r="N52" s="112"/>
      <c r="O52" s="112"/>
      <c r="P52" s="112"/>
      <c r="Q52" s="112"/>
      <c r="R52" s="112"/>
      <c r="S52" s="112"/>
      <c r="T52" s="112"/>
      <c r="U52" s="112"/>
      <c r="V52" s="112"/>
      <c r="W52" s="112"/>
      <c r="X52" s="112"/>
      <c r="Y52" s="112"/>
      <c r="Z52" s="112"/>
      <c r="AA52" s="112"/>
      <c r="AB52" s="112"/>
      <c r="AC52" s="112"/>
      <c r="AD52" s="112"/>
      <c r="AE52" s="112"/>
      <c r="AF52" s="112"/>
      <c r="AG52" s="112"/>
      <c r="AH52" s="112"/>
      <c r="AI52" s="112"/>
      <c r="AJ52" s="112"/>
    </row>
    <row r="53" spans="1:36" hidden="1">
      <c r="A53" s="112"/>
      <c r="B53" s="112"/>
      <c r="C53" s="112"/>
      <c r="D53" s="112"/>
      <c r="E53" s="112"/>
      <c r="F53" s="112"/>
      <c r="G53" s="112"/>
      <c r="H53" s="112"/>
      <c r="I53" s="112"/>
      <c r="J53" s="112"/>
      <c r="K53" s="112"/>
      <c r="L53" s="112"/>
      <c r="M53" s="112"/>
      <c r="N53" s="112"/>
      <c r="O53" s="112"/>
      <c r="P53" s="112"/>
      <c r="Q53" s="112"/>
      <c r="R53" s="112"/>
      <c r="S53" s="112"/>
      <c r="T53" s="112"/>
      <c r="U53" s="112"/>
      <c r="V53" s="112"/>
      <c r="W53" s="112"/>
      <c r="X53" s="112"/>
      <c r="Y53" s="112"/>
      <c r="Z53" s="112"/>
      <c r="AA53" s="112"/>
      <c r="AB53" s="112"/>
      <c r="AC53" s="112"/>
      <c r="AD53" s="112"/>
      <c r="AE53" s="112"/>
      <c r="AF53" s="112"/>
      <c r="AG53" s="112"/>
      <c r="AH53" s="112"/>
      <c r="AI53" s="112"/>
      <c r="AJ53" s="112"/>
    </row>
    <row r="54" spans="1:36" hidden="1">
      <c r="A54" s="112"/>
      <c r="B54" s="112"/>
      <c r="C54" s="112"/>
      <c r="D54" s="112"/>
      <c r="E54" s="112"/>
      <c r="F54" s="112"/>
      <c r="G54" s="112"/>
      <c r="H54" s="112"/>
      <c r="I54" s="112"/>
      <c r="J54" s="112"/>
      <c r="K54" s="112"/>
      <c r="L54" s="112"/>
      <c r="M54" s="112"/>
      <c r="N54" s="112"/>
      <c r="O54" s="112"/>
      <c r="P54" s="112"/>
      <c r="Q54" s="112"/>
      <c r="R54" s="112"/>
      <c r="S54" s="112"/>
      <c r="T54" s="112"/>
      <c r="U54" s="112"/>
      <c r="V54" s="112"/>
      <c r="W54" s="112"/>
      <c r="X54" s="112"/>
      <c r="Y54" s="112"/>
      <c r="Z54" s="112"/>
      <c r="AA54" s="112"/>
      <c r="AB54" s="112"/>
      <c r="AC54" s="112"/>
      <c r="AD54" s="112"/>
      <c r="AE54" s="112"/>
      <c r="AF54" s="112"/>
      <c r="AG54" s="112"/>
      <c r="AH54" s="112"/>
      <c r="AI54" s="112"/>
      <c r="AJ54" s="112"/>
    </row>
    <row r="55" spans="1:36" hidden="1">
      <c r="A55" s="112"/>
      <c r="B55" s="112"/>
      <c r="C55" s="112"/>
      <c r="D55" s="112"/>
      <c r="E55" s="112"/>
      <c r="F55" s="112"/>
      <c r="G55" s="112"/>
      <c r="H55" s="112"/>
      <c r="I55" s="112"/>
      <c r="J55" s="112"/>
      <c r="K55" s="112"/>
      <c r="L55" s="112"/>
      <c r="M55" s="112"/>
      <c r="N55" s="112"/>
      <c r="O55" s="112"/>
      <c r="P55" s="112"/>
      <c r="Q55" s="112"/>
      <c r="R55" s="112"/>
      <c r="S55" s="112"/>
      <c r="T55" s="112"/>
      <c r="U55" s="112"/>
      <c r="V55" s="112"/>
      <c r="W55" s="112"/>
      <c r="X55" s="112"/>
      <c r="Y55" s="112"/>
      <c r="Z55" s="112"/>
      <c r="AA55" s="112"/>
      <c r="AB55" s="112"/>
      <c r="AC55" s="112"/>
      <c r="AD55" s="112"/>
      <c r="AE55" s="112"/>
      <c r="AF55" s="112"/>
      <c r="AG55" s="112"/>
      <c r="AH55" s="112"/>
      <c r="AI55" s="112"/>
      <c r="AJ55" s="112"/>
    </row>
    <row r="56" spans="1:36" hidden="1">
      <c r="A56" s="112"/>
      <c r="B56" s="112"/>
      <c r="C56" s="112"/>
      <c r="D56" s="112"/>
      <c r="E56" s="112"/>
      <c r="F56" s="112"/>
      <c r="G56" s="112"/>
      <c r="H56" s="112"/>
      <c r="I56" s="112"/>
      <c r="J56" s="112"/>
      <c r="K56" s="112"/>
      <c r="L56" s="112"/>
      <c r="M56" s="112"/>
      <c r="N56" s="112"/>
      <c r="O56" s="112"/>
      <c r="P56" s="112"/>
      <c r="Q56" s="112"/>
      <c r="R56" s="112"/>
      <c r="S56" s="112"/>
      <c r="T56" s="112"/>
      <c r="U56" s="112"/>
      <c r="V56" s="112"/>
      <c r="W56" s="112"/>
      <c r="X56" s="112"/>
      <c r="Y56" s="112"/>
      <c r="Z56" s="112"/>
      <c r="AA56" s="112"/>
      <c r="AB56" s="112"/>
      <c r="AC56" s="112"/>
      <c r="AD56" s="112"/>
      <c r="AE56" s="112"/>
      <c r="AF56" s="112"/>
      <c r="AG56" s="112"/>
      <c r="AH56" s="112"/>
      <c r="AI56" s="112"/>
      <c r="AJ56" s="112"/>
    </row>
  </sheetData>
  <sheetProtection password="C528" sheet="1" selectLockedCells="1"/>
  <mergeCells count="18">
    <mergeCell ref="N12:AG12"/>
    <mergeCell ref="B5:AG5"/>
    <mergeCell ref="B7:H7"/>
    <mergeCell ref="I7:AG7"/>
    <mergeCell ref="B9:U9"/>
    <mergeCell ref="N11:AG11"/>
    <mergeCell ref="B22:AG22"/>
    <mergeCell ref="B24:AG33"/>
    <mergeCell ref="G38:L38"/>
    <mergeCell ref="E36:F36"/>
    <mergeCell ref="N13:AG13"/>
    <mergeCell ref="N14:AG14"/>
    <mergeCell ref="N15:AG15"/>
    <mergeCell ref="N16:AG16"/>
    <mergeCell ref="N17:AG17"/>
    <mergeCell ref="N18:AG18"/>
    <mergeCell ref="B20:M20"/>
    <mergeCell ref="N20:AG20"/>
  </mergeCells>
  <pageMargins left="0.7" right="0.7" top="0.75" bottom="0.75" header="0.3" footer="0.3"/>
  <pageSetup scale="91" orientation="portrait" r:id="rId1"/>
  <drawing r:id="rId2"/>
</worksheet>
</file>

<file path=xl/worksheets/sheet12.xml><?xml version="1.0" encoding="utf-8"?>
<worksheet xmlns="http://schemas.openxmlformats.org/spreadsheetml/2006/main" xmlns:r="http://schemas.openxmlformats.org/officeDocument/2006/relationships">
  <dimension ref="B1:AG48"/>
  <sheetViews>
    <sheetView showGridLines="0" zoomScale="80" zoomScaleNormal="80" workbookViewId="0">
      <selection activeCell="C1" sqref="C1"/>
    </sheetView>
  </sheetViews>
  <sheetFormatPr defaultColWidth="0" defaultRowHeight="15" customHeight="1" zeroHeight="1"/>
  <cols>
    <col min="1" max="13" width="3.7109375" customWidth="1"/>
    <col min="14" max="16" width="1.7109375" customWidth="1"/>
    <col min="17" max="30" width="3.7109375" customWidth="1"/>
    <col min="31" max="33" width="3.7109375" hidden="1" customWidth="1"/>
  </cols>
  <sheetData>
    <row r="1" spans="2:30"/>
    <row r="2" spans="2:30"/>
    <row r="3" spans="2:30"/>
    <row r="4" spans="2:30"/>
    <row r="5" spans="2:30"/>
    <row r="6" spans="2:30"/>
    <row r="7" spans="2:30">
      <c r="B7" s="191" t="s">
        <v>1034</v>
      </c>
    </row>
    <row r="8" spans="2:30" ht="15" customHeight="1">
      <c r="B8" s="90"/>
      <c r="O8" s="192"/>
      <c r="P8" s="192"/>
      <c r="Q8" s="192"/>
      <c r="R8" s="192"/>
      <c r="S8" s="192"/>
      <c r="T8" s="192"/>
      <c r="U8" s="192"/>
      <c r="V8" s="192"/>
      <c r="W8" s="192"/>
      <c r="X8" s="192"/>
      <c r="Y8" s="192"/>
      <c r="Z8" s="192"/>
      <c r="AA8" s="192"/>
      <c r="AB8" s="192"/>
      <c r="AC8" s="192"/>
      <c r="AD8" s="192"/>
    </row>
    <row r="9" spans="2:30">
      <c r="B9" s="90" t="s">
        <v>1033</v>
      </c>
      <c r="O9" s="192"/>
      <c r="P9" s="192"/>
      <c r="Q9" s="192"/>
      <c r="R9" s="192"/>
      <c r="S9" s="192"/>
      <c r="T9" s="192"/>
      <c r="U9" s="192"/>
      <c r="V9" s="192"/>
      <c r="W9" s="192"/>
      <c r="X9" s="192"/>
      <c r="Y9" s="192"/>
      <c r="Z9" s="192"/>
      <c r="AA9" s="192"/>
      <c r="AB9" s="192"/>
      <c r="AC9" s="192"/>
      <c r="AD9" s="192"/>
    </row>
    <row r="10" spans="2:30"/>
    <row r="11" spans="2:30" ht="44.25" customHeight="1">
      <c r="B11" s="633" t="s">
        <v>1075</v>
      </c>
      <c r="C11" s="634"/>
      <c r="D11" s="634"/>
      <c r="E11" s="634"/>
      <c r="F11" s="634"/>
      <c r="G11" s="634"/>
      <c r="H11" s="634"/>
      <c r="I11" s="634"/>
      <c r="J11" s="634"/>
      <c r="K11" s="634"/>
      <c r="L11" s="634"/>
      <c r="M11" s="634"/>
      <c r="N11" s="634"/>
      <c r="O11" s="634"/>
      <c r="P11" s="634"/>
      <c r="Q11" s="634"/>
      <c r="R11" s="634"/>
      <c r="S11" s="634"/>
      <c r="T11" s="634"/>
      <c r="U11" s="634"/>
      <c r="V11" s="634"/>
      <c r="W11" s="634"/>
      <c r="X11" s="634"/>
      <c r="Y11" s="634"/>
      <c r="Z11" s="634"/>
      <c r="AA11" s="634"/>
      <c r="AB11" s="634"/>
      <c r="AC11" s="634"/>
    </row>
    <row r="12" spans="2:30" ht="44.25" customHeight="1">
      <c r="B12" s="634"/>
      <c r="C12" s="634"/>
      <c r="D12" s="634"/>
      <c r="E12" s="634"/>
      <c r="F12" s="634"/>
      <c r="G12" s="634"/>
      <c r="H12" s="634"/>
      <c r="I12" s="634"/>
      <c r="J12" s="634"/>
      <c r="K12" s="634"/>
      <c r="L12" s="634"/>
      <c r="M12" s="634"/>
      <c r="N12" s="634"/>
      <c r="O12" s="634"/>
      <c r="P12" s="634"/>
      <c r="Q12" s="634"/>
      <c r="R12" s="634"/>
      <c r="S12" s="634"/>
      <c r="T12" s="634"/>
      <c r="U12" s="634"/>
      <c r="V12" s="634"/>
      <c r="W12" s="634"/>
      <c r="X12" s="634"/>
      <c r="Y12" s="634"/>
      <c r="Z12" s="634"/>
      <c r="AA12" s="634"/>
      <c r="AB12" s="634"/>
      <c r="AC12" s="634"/>
    </row>
    <row r="13" spans="2:30" ht="44.25" customHeight="1">
      <c r="B13" s="634"/>
      <c r="C13" s="634"/>
      <c r="D13" s="634"/>
      <c r="E13" s="634"/>
      <c r="F13" s="634"/>
      <c r="G13" s="634"/>
      <c r="H13" s="634"/>
      <c r="I13" s="634"/>
      <c r="J13" s="634"/>
      <c r="K13" s="634"/>
      <c r="L13" s="634"/>
      <c r="M13" s="634"/>
      <c r="N13" s="634"/>
      <c r="O13" s="634"/>
      <c r="P13" s="634"/>
      <c r="Q13" s="634"/>
      <c r="R13" s="634"/>
      <c r="S13" s="634"/>
      <c r="T13" s="634"/>
      <c r="U13" s="634"/>
      <c r="V13" s="634"/>
      <c r="W13" s="634"/>
      <c r="X13" s="634"/>
      <c r="Y13" s="634"/>
      <c r="Z13" s="634"/>
      <c r="AA13" s="634"/>
      <c r="AB13" s="634"/>
      <c r="AC13" s="634"/>
    </row>
    <row r="14" spans="2:30" ht="44.25" customHeight="1">
      <c r="B14" s="634"/>
      <c r="C14" s="634"/>
      <c r="D14" s="634"/>
      <c r="E14" s="634"/>
      <c r="F14" s="634"/>
      <c r="G14" s="634"/>
      <c r="H14" s="634"/>
      <c r="I14" s="634"/>
      <c r="J14" s="634"/>
      <c r="K14" s="634"/>
      <c r="L14" s="634"/>
      <c r="M14" s="634"/>
      <c r="N14" s="634"/>
      <c r="O14" s="634"/>
      <c r="P14" s="634"/>
      <c r="Q14" s="634"/>
      <c r="R14" s="634"/>
      <c r="S14" s="634"/>
      <c r="T14" s="634"/>
      <c r="U14" s="634"/>
      <c r="V14" s="634"/>
      <c r="W14" s="634"/>
      <c r="X14" s="634"/>
      <c r="Y14" s="634"/>
      <c r="Z14" s="634"/>
      <c r="AA14" s="634"/>
      <c r="AB14" s="634"/>
      <c r="AC14" s="634"/>
    </row>
    <row r="15" spans="2:30" ht="48.75" customHeight="1">
      <c r="B15" s="633" t="s">
        <v>1076</v>
      </c>
      <c r="C15" s="634"/>
      <c r="D15" s="634"/>
      <c r="E15" s="634"/>
      <c r="F15" s="634"/>
      <c r="G15" s="634"/>
      <c r="H15" s="634"/>
      <c r="I15" s="634"/>
      <c r="J15" s="634"/>
      <c r="K15" s="634"/>
      <c r="L15" s="634"/>
      <c r="M15" s="634"/>
      <c r="N15" s="634"/>
      <c r="O15" s="634"/>
      <c r="P15" s="634"/>
      <c r="Q15" s="634"/>
      <c r="R15" s="634"/>
      <c r="S15" s="634"/>
      <c r="T15" s="634"/>
      <c r="U15" s="634"/>
      <c r="V15" s="634"/>
      <c r="W15" s="634"/>
      <c r="X15" s="634"/>
      <c r="Y15" s="634"/>
      <c r="Z15" s="634"/>
      <c r="AA15" s="634"/>
      <c r="AB15" s="634"/>
      <c r="AC15" s="634"/>
    </row>
    <row r="16" spans="2:30" ht="48.75" customHeight="1">
      <c r="B16" s="634"/>
      <c r="C16" s="634"/>
      <c r="D16" s="634"/>
      <c r="E16" s="634"/>
      <c r="F16" s="634"/>
      <c r="G16" s="634"/>
      <c r="H16" s="634"/>
      <c r="I16" s="634"/>
      <c r="J16" s="634"/>
      <c r="K16" s="634"/>
      <c r="L16" s="634"/>
      <c r="M16" s="634"/>
      <c r="N16" s="634"/>
      <c r="O16" s="634"/>
      <c r="P16" s="634"/>
      <c r="Q16" s="634"/>
      <c r="R16" s="634"/>
      <c r="S16" s="634"/>
      <c r="T16" s="634"/>
      <c r="U16" s="634"/>
      <c r="V16" s="634"/>
      <c r="W16" s="634"/>
      <c r="X16" s="634"/>
      <c r="Y16" s="634"/>
      <c r="Z16" s="634"/>
      <c r="AA16" s="634"/>
      <c r="AB16" s="634"/>
      <c r="AC16" s="634"/>
    </row>
    <row r="17" spans="2:29" ht="48.75" customHeight="1">
      <c r="B17" s="634"/>
      <c r="C17" s="634"/>
      <c r="D17" s="634"/>
      <c r="E17" s="634"/>
      <c r="F17" s="634"/>
      <c r="G17" s="634"/>
      <c r="H17" s="634"/>
      <c r="I17" s="634"/>
      <c r="J17" s="634"/>
      <c r="K17" s="634"/>
      <c r="L17" s="634"/>
      <c r="M17" s="634"/>
      <c r="N17" s="634"/>
      <c r="O17" s="634"/>
      <c r="P17" s="634"/>
      <c r="Q17" s="634"/>
      <c r="R17" s="634"/>
      <c r="S17" s="634"/>
      <c r="T17" s="634"/>
      <c r="U17" s="634"/>
      <c r="V17" s="634"/>
      <c r="W17" s="634"/>
      <c r="X17" s="634"/>
      <c r="Y17" s="634"/>
      <c r="Z17" s="634"/>
      <c r="AA17" s="634"/>
      <c r="AB17" s="634"/>
      <c r="AC17" s="634"/>
    </row>
    <row r="18" spans="2:29" ht="48.75" customHeight="1">
      <c r="B18" s="634"/>
      <c r="C18" s="634"/>
      <c r="D18" s="634"/>
      <c r="E18" s="634"/>
      <c r="F18" s="634"/>
      <c r="G18" s="634"/>
      <c r="H18" s="634"/>
      <c r="I18" s="634"/>
      <c r="J18" s="634"/>
      <c r="K18" s="634"/>
      <c r="L18" s="634"/>
      <c r="M18" s="634"/>
      <c r="N18" s="634"/>
      <c r="O18" s="634"/>
      <c r="P18" s="634"/>
      <c r="Q18" s="634"/>
      <c r="R18" s="634"/>
      <c r="S18" s="634"/>
      <c r="T18" s="634"/>
      <c r="U18" s="634"/>
      <c r="V18" s="634"/>
      <c r="W18" s="634"/>
      <c r="X18" s="634"/>
      <c r="Y18" s="634"/>
      <c r="Z18" s="634"/>
      <c r="AA18" s="634"/>
      <c r="AB18" s="634"/>
      <c r="AC18" s="634"/>
    </row>
    <row r="19" spans="2:29" ht="19.5" customHeight="1">
      <c r="B19" s="633" t="s">
        <v>1077</v>
      </c>
      <c r="C19" s="634"/>
      <c r="D19" s="634"/>
      <c r="E19" s="634"/>
      <c r="F19" s="634"/>
      <c r="G19" s="634"/>
      <c r="H19" s="634"/>
      <c r="I19" s="634"/>
      <c r="J19" s="634"/>
      <c r="K19" s="634"/>
      <c r="L19" s="634"/>
      <c r="M19" s="634"/>
      <c r="N19" s="634"/>
      <c r="O19" s="634"/>
      <c r="P19" s="634"/>
      <c r="Q19" s="634"/>
      <c r="R19" s="634"/>
      <c r="S19" s="634"/>
      <c r="T19" s="634"/>
      <c r="U19" s="634"/>
      <c r="V19" s="634"/>
      <c r="W19" s="634"/>
      <c r="X19" s="634"/>
      <c r="Y19" s="634"/>
      <c r="Z19" s="634"/>
      <c r="AA19" s="634"/>
      <c r="AB19" s="634"/>
      <c r="AC19" s="634"/>
    </row>
    <row r="20" spans="2:29" ht="19.5" customHeight="1">
      <c r="B20" s="634"/>
      <c r="C20" s="634"/>
      <c r="D20" s="634"/>
      <c r="E20" s="634"/>
      <c r="F20" s="634"/>
      <c r="G20" s="634"/>
      <c r="H20" s="634"/>
      <c r="I20" s="634"/>
      <c r="J20" s="634"/>
      <c r="K20" s="634"/>
      <c r="L20" s="634"/>
      <c r="M20" s="634"/>
      <c r="N20" s="634"/>
      <c r="O20" s="634"/>
      <c r="P20" s="634"/>
      <c r="Q20" s="634"/>
      <c r="R20" s="634"/>
      <c r="S20" s="634"/>
      <c r="T20" s="634"/>
      <c r="U20" s="634"/>
      <c r="V20" s="634"/>
      <c r="W20" s="634"/>
      <c r="X20" s="634"/>
      <c r="Y20" s="634"/>
      <c r="Z20" s="634"/>
      <c r="AA20" s="634"/>
      <c r="AB20" s="634"/>
      <c r="AC20" s="634"/>
    </row>
    <row r="21" spans="2:29" ht="19.5" customHeight="1">
      <c r="B21" s="634"/>
      <c r="C21" s="634"/>
      <c r="D21" s="634"/>
      <c r="E21" s="634"/>
      <c r="F21" s="634"/>
      <c r="G21" s="634"/>
      <c r="H21" s="634"/>
      <c r="I21" s="634"/>
      <c r="J21" s="634"/>
      <c r="K21" s="634"/>
      <c r="L21" s="634"/>
      <c r="M21" s="634"/>
      <c r="N21" s="634"/>
      <c r="O21" s="634"/>
      <c r="P21" s="634"/>
      <c r="Q21" s="634"/>
      <c r="R21" s="634"/>
      <c r="S21" s="634"/>
      <c r="T21" s="634"/>
      <c r="U21" s="634"/>
      <c r="V21" s="634"/>
      <c r="W21" s="634"/>
      <c r="X21" s="634"/>
      <c r="Y21" s="634"/>
      <c r="Z21" s="634"/>
      <c r="AA21" s="634"/>
      <c r="AB21" s="634"/>
      <c r="AC21" s="634"/>
    </row>
    <row r="22" spans="2:29"/>
    <row r="23" spans="2:29"/>
    <row r="24" spans="2:29" ht="21">
      <c r="B24" s="118" t="s">
        <v>74</v>
      </c>
      <c r="C24" s="119"/>
      <c r="D24" s="119"/>
      <c r="E24" s="603">
        <v>12</v>
      </c>
      <c r="F24" s="603"/>
      <c r="G24" s="120"/>
      <c r="H24" s="120"/>
      <c r="I24" s="120"/>
      <c r="J24" s="120"/>
      <c r="K24" s="120"/>
      <c r="L24" s="120"/>
      <c r="M24" s="120"/>
    </row>
    <row r="25" spans="2:29">
      <c r="B25" s="112" t="s">
        <v>1</v>
      </c>
      <c r="C25" s="112"/>
      <c r="D25" s="112"/>
      <c r="E25" s="112"/>
      <c r="F25" s="106"/>
      <c r="G25" s="203" t="str">
        <f>TRIM(CONCATENATE(IF('Employee Data Form'!S9="","",UPPER('Employee Data Form'!S9))," ",IF('Employee Data Form'!K9="","",UPPER('Employee Data Form'!K9))))</f>
        <v>SRIKANTH KOMMULA</v>
      </c>
      <c r="H25" s="118"/>
      <c r="I25" s="118"/>
      <c r="J25" s="118"/>
      <c r="K25" s="118"/>
      <c r="L25" s="118"/>
      <c r="M25" s="118"/>
    </row>
    <row r="26" spans="2:29">
      <c r="B26" s="118" t="s">
        <v>85</v>
      </c>
      <c r="C26" s="119"/>
      <c r="D26" s="112"/>
      <c r="E26" s="112"/>
      <c r="F26" s="112"/>
      <c r="G26" s="621" t="str">
        <f ca="1">UPPER(TEXT(TODAY(),"DD-MMM-YYYY"))</f>
        <v>30-NOV-2022</v>
      </c>
      <c r="H26" s="621"/>
      <c r="I26" s="621"/>
      <c r="J26" s="621"/>
      <c r="K26" s="621"/>
      <c r="L26" s="621"/>
      <c r="M26" s="112"/>
      <c r="Q26" s="190"/>
    </row>
    <row r="27" spans="2:29">
      <c r="Q27" s="190">
        <v>19</v>
      </c>
    </row>
    <row r="28" spans="2:29" hidden="1"/>
    <row r="29" spans="2:29" hidden="1"/>
    <row r="30" spans="2:29" hidden="1"/>
    <row r="31" spans="2:29" hidden="1"/>
    <row r="32" spans="2:29" hidden="1"/>
    <row r="33" hidden="1"/>
    <row r="34" hidden="1"/>
    <row r="35" hidden="1"/>
    <row r="36" hidden="1"/>
    <row r="37" hidden="1"/>
    <row r="38" hidden="1"/>
    <row r="39" hidden="1"/>
    <row r="40" hidden="1"/>
    <row r="41" hidden="1"/>
    <row r="42" hidden="1"/>
    <row r="43" hidden="1"/>
    <row r="44" hidden="1"/>
    <row r="45" hidden="1"/>
    <row r="46" hidden="1"/>
    <row r="47" hidden="1"/>
    <row r="48" ht="15" customHeight="1"/>
  </sheetData>
  <sheetProtection password="C528" sheet="1" selectLockedCells="1"/>
  <mergeCells count="5">
    <mergeCell ref="B11:AC14"/>
    <mergeCell ref="B15:AC18"/>
    <mergeCell ref="B19:AC21"/>
    <mergeCell ref="E24:F24"/>
    <mergeCell ref="G26:L26"/>
  </mergeCells>
  <pageMargins left="0.7" right="0.7" top="0.75" bottom="0.75" header="0.3" footer="0.3"/>
  <pageSetup paperSize="12" orientation="portrait" r:id="rId1"/>
  <drawing r:id="rId2"/>
</worksheet>
</file>

<file path=xl/worksheets/sheet13.xml><?xml version="1.0" encoding="utf-8"?>
<worksheet xmlns="http://schemas.openxmlformats.org/spreadsheetml/2006/main" xmlns:r="http://schemas.openxmlformats.org/officeDocument/2006/relationships">
  <sheetPr codeName="Sheet17">
    <tabColor rgb="FF0070C0"/>
  </sheetPr>
  <dimension ref="A1:B457"/>
  <sheetViews>
    <sheetView workbookViewId="0">
      <pane ySplit="1" topLeftCell="A308" activePane="bottomLeft" state="frozen"/>
      <selection pane="bottomLeft" activeCell="B2" sqref="B2"/>
    </sheetView>
  </sheetViews>
  <sheetFormatPr defaultColWidth="0" defaultRowHeight="15" zeroHeight="1"/>
  <cols>
    <col min="1" max="1" width="30.28515625" customWidth="1"/>
    <col min="2" max="2" width="78.140625" customWidth="1"/>
  </cols>
  <sheetData>
    <row r="1" spans="1:2">
      <c r="A1" s="1" t="s">
        <v>345</v>
      </c>
      <c r="B1" s="1" t="s">
        <v>346</v>
      </c>
    </row>
    <row r="2" spans="1:2">
      <c r="A2" s="1" t="s">
        <v>4</v>
      </c>
      <c r="B2" s="1"/>
    </row>
    <row r="3" spans="1:2">
      <c r="A3" s="1" t="s">
        <v>347</v>
      </c>
      <c r="B3" s="1"/>
    </row>
    <row r="4" spans="1:2">
      <c r="A4" s="99" t="s">
        <v>348</v>
      </c>
      <c r="B4" s="99" t="str">
        <f>UPPER('Employee Data Form'!S9)</f>
        <v>SRIKANTH</v>
      </c>
    </row>
    <row r="5" spans="1:2">
      <c r="A5" s="99" t="s">
        <v>349</v>
      </c>
      <c r="B5" s="99" t="str">
        <f>UPPER('Employee Data Form'!AA9)</f>
        <v/>
      </c>
    </row>
    <row r="6" spans="1:2">
      <c r="A6" s="99" t="s">
        <v>350</v>
      </c>
      <c r="B6" s="99" t="str">
        <f>UPPER('Employee Data Form'!K9)</f>
        <v>KOMMULA</v>
      </c>
    </row>
    <row r="7" spans="1:2">
      <c r="A7" s="99" t="s">
        <v>351</v>
      </c>
      <c r="B7" s="99" t="e">
        <f>UPPER('Employee Data Form'!#REF!)</f>
        <v>#REF!</v>
      </c>
    </row>
    <row r="8" spans="1:2">
      <c r="A8" s="99" t="s">
        <v>352</v>
      </c>
      <c r="B8" s="99" t="e">
        <f>LOWER('Employee Data Form'!#REF!)</f>
        <v>#REF!</v>
      </c>
    </row>
    <row r="9" spans="1:2">
      <c r="A9" s="99" t="s">
        <v>353</v>
      </c>
      <c r="B9" s="99" t="str">
        <f>UPPER('Employee Data Form'!S12)</f>
        <v>RAJAIAH</v>
      </c>
    </row>
    <row r="10" spans="1:2">
      <c r="A10" s="99" t="s">
        <v>354</v>
      </c>
      <c r="B10" s="99" t="str">
        <f>UPPER('Employee Data Form'!AA12)</f>
        <v/>
      </c>
    </row>
    <row r="11" spans="1:2">
      <c r="A11" s="99" t="s">
        <v>355</v>
      </c>
      <c r="B11" s="99" t="str">
        <f>UPPER('Employee Data Form'!K12)</f>
        <v>KOMMULA</v>
      </c>
    </row>
    <row r="12" spans="1:2">
      <c r="A12" s="99" t="s">
        <v>356</v>
      </c>
      <c r="B12" s="99" t="str">
        <f>CONCATENATE(IF('Employee Data Form'!K14="","",UPPER('Employee Data Form'!K14)),"-",IF('Employee Data Form'!N14="","",UPPER('Employee Data Form'!N14)),"-",IF('Employee Data Form'!Q14="","",UPPER('Employee Data Form'!Q14)))</f>
        <v>28-JUL-1998</v>
      </c>
    </row>
    <row r="13" spans="1:2">
      <c r="A13" s="99" t="s">
        <v>357</v>
      </c>
      <c r="B13" s="99" t="str">
        <f>UPPER('Employee Data Form'!Z14)</f>
        <v>MALE</v>
      </c>
    </row>
    <row r="14" spans="1:2">
      <c r="A14" s="99" t="s">
        <v>358</v>
      </c>
      <c r="B14" s="99" t="str">
        <f>UPPER('Employee Data Form'!K16)</f>
        <v>INDIAN</v>
      </c>
    </row>
    <row r="15" spans="1:2">
      <c r="A15" s="99" t="s">
        <v>359</v>
      </c>
      <c r="B15" s="99" t="str">
        <f>UPPER('Employee Data Form'!Z16)</f>
        <v>SC</v>
      </c>
    </row>
    <row r="16" spans="1:2">
      <c r="A16" s="99" t="s">
        <v>360</v>
      </c>
      <c r="B16" s="99" t="str">
        <f>UPPER('Employee Data Form'!K18)</f>
        <v>MIJPS7369P</v>
      </c>
    </row>
    <row r="17" spans="1:2">
      <c r="A17" s="99" t="s">
        <v>361</v>
      </c>
      <c r="B17" s="99" t="str">
        <f>UPPER('Employee Data Form'!Z18)</f>
        <v/>
      </c>
    </row>
    <row r="18" spans="1:2">
      <c r="A18" s="99" t="s">
        <v>362</v>
      </c>
      <c r="B18" s="99" t="str">
        <f>UPPER('Employee Data Form'!K22)</f>
        <v>SINGLE</v>
      </c>
    </row>
    <row r="19" spans="1:2">
      <c r="A19" s="99" t="s">
        <v>363</v>
      </c>
      <c r="B19" s="99" t="str">
        <f>UPPER('Employee Data Form'!Z22)</f>
        <v>B POSITIVE       (B+)</v>
      </c>
    </row>
    <row r="20" spans="1:2">
      <c r="A20" s="99" t="s">
        <v>364</v>
      </c>
      <c r="B20" s="99" t="e">
        <f>CONCATENATE(IF('Employee Data Form'!#REF!="","",UPPER('Employee Data Form'!#REF!)),"-",IF('Employee Data Form'!#REF!="","",UPPER('Employee Data Form'!#REF!)),"-",IF('Employee Data Form'!#REF!="","",UPPER('Employee Data Form'!#REF!)))</f>
        <v>#REF!</v>
      </c>
    </row>
    <row r="21" spans="1:2">
      <c r="A21" s="99" t="s">
        <v>365</v>
      </c>
      <c r="B21" s="99" t="str">
        <f>UPPER('Employee Data Form'!Z24)</f>
        <v>HINDUISM</v>
      </c>
    </row>
    <row r="22" spans="1:2">
      <c r="A22" s="99" t="s">
        <v>366</v>
      </c>
      <c r="B22" s="99" t="str">
        <f>UPPER('Employee Data Form'!K24)</f>
        <v>TELANGANA</v>
      </c>
    </row>
    <row r="23" spans="1:2">
      <c r="A23" s="99" t="s">
        <v>367</v>
      </c>
      <c r="B23" s="99" t="str">
        <f>UPPER('Employee Data Form'!C29)</f>
        <v>7-1-632/79/1/A BAAPU NAGAR .SR NAGAR500038</v>
      </c>
    </row>
    <row r="24" spans="1:2">
      <c r="A24" s="99" t="s">
        <v>368</v>
      </c>
      <c r="B24" s="99" t="str">
        <f>UPPER('Employee Data Form'!Z30)</f>
        <v/>
      </c>
    </row>
    <row r="25" spans="1:2">
      <c r="A25" s="99" t="s">
        <v>369</v>
      </c>
      <c r="B25" s="99" t="str">
        <f>UPPER('Employee Data Form'!I30)</f>
        <v/>
      </c>
    </row>
    <row r="26" spans="1:2">
      <c r="A26" s="99" t="s">
        <v>370</v>
      </c>
      <c r="B26" s="99" t="e">
        <f>UPPER('Employee Data Form'!#REF!)</f>
        <v>#REF!</v>
      </c>
    </row>
    <row r="27" spans="1:2">
      <c r="A27" s="99" t="s">
        <v>371</v>
      </c>
      <c r="B27" s="99" t="e">
        <f>UPPER('Employee Data Form'!#REF!)</f>
        <v>#REF!</v>
      </c>
    </row>
    <row r="28" spans="1:2">
      <c r="A28" s="99" t="s">
        <v>372</v>
      </c>
      <c r="B28" s="99" t="str">
        <f>UPPER('Employee Data Form'!C32)</f>
        <v>3/150/1 GOURAVELLY,AKKANNAPET,SIDDIPET NEAR GOURAVELLY BUSTOP</v>
      </c>
    </row>
    <row r="29" spans="1:2">
      <c r="A29" s="99" t="s">
        <v>373</v>
      </c>
      <c r="B29" s="99" t="str">
        <f>UPPER('Employee Data Form'!Z33)</f>
        <v/>
      </c>
    </row>
    <row r="30" spans="1:2">
      <c r="A30" s="99" t="s">
        <v>374</v>
      </c>
      <c r="B30" s="99" t="str">
        <f>UPPER('Employee Data Form'!I33)</f>
        <v/>
      </c>
    </row>
    <row r="31" spans="1:2">
      <c r="A31" s="1" t="s">
        <v>375</v>
      </c>
      <c r="B31" s="99"/>
    </row>
    <row r="32" spans="1:2">
      <c r="A32" s="99" t="s">
        <v>376</v>
      </c>
      <c r="B32" s="99" t="str">
        <f>UPPER('Employee Data Form'!F43)</f>
        <v>KOMMULA RAJAIAH</v>
      </c>
    </row>
    <row r="33" spans="1:2">
      <c r="A33" s="99" t="s">
        <v>377</v>
      </c>
      <c r="B33" s="99" t="str">
        <f>UPPER('Employee Data Form'!P43)</f>
        <v>FATHER</v>
      </c>
    </row>
    <row r="34" spans="1:2">
      <c r="A34" s="99" t="s">
        <v>378</v>
      </c>
      <c r="B34" s="99" t="str">
        <f>CONCATENATE(IF('Employee Data Form'!U43="","",UPPER('Employee Data Form'!U43)),"-",IF('Employee Data Form'!W43="","",UPPER('Employee Data Form'!W43)),"-",IF('Employee Data Form'!Y43="","",UPPER('Employee Data Form'!Y43)))</f>
        <v>19-FEB-1970</v>
      </c>
    </row>
    <row r="35" spans="1:2">
      <c r="A35" s="99" t="s">
        <v>379</v>
      </c>
      <c r="B35" s="99" t="str">
        <f>UPPER('Employee Data Form'!AA43)</f>
        <v>FARMAR</v>
      </c>
    </row>
    <row r="36" spans="1:2">
      <c r="A36" s="99" t="s">
        <v>380</v>
      </c>
      <c r="B36" s="99" t="str">
        <f>UPPER('Employee Data Form'!F44)</f>
        <v>KOMMUA SUGUNA</v>
      </c>
    </row>
    <row r="37" spans="1:2">
      <c r="A37" s="99" t="s">
        <v>381</v>
      </c>
      <c r="B37" s="99" t="str">
        <f>UPPER('Employee Data Form'!P44)</f>
        <v>MOTHER</v>
      </c>
    </row>
    <row r="38" spans="1:2">
      <c r="A38" s="99" t="s">
        <v>382</v>
      </c>
      <c r="B38" s="99" t="str">
        <f>CONCATENATE(IF('Employee Data Form'!U44="","",UPPER('Employee Data Form'!U44)),"-",IF('Employee Data Form'!W44="","",UPPER('Employee Data Form'!W44)),"-",IF('Employee Data Form'!Y44="","",UPPER('Employee Data Form'!Y44)))</f>
        <v>15-MAY-1980</v>
      </c>
    </row>
    <row r="39" spans="1:2">
      <c r="A39" s="99" t="s">
        <v>383</v>
      </c>
      <c r="B39" s="99" t="str">
        <f>UPPER('Employee Data Form'!AA44)</f>
        <v>FARMAR</v>
      </c>
    </row>
    <row r="40" spans="1:2">
      <c r="A40" s="99" t="s">
        <v>384</v>
      </c>
      <c r="B40" s="99" t="str">
        <f>UPPER('Employee Data Form'!F45)</f>
        <v>KOMMULA VINOD</v>
      </c>
    </row>
    <row r="41" spans="1:2">
      <c r="A41" s="99" t="s">
        <v>385</v>
      </c>
      <c r="B41" s="99" t="str">
        <f>UPPER('Employee Data Form'!P45)</f>
        <v>BROTHER</v>
      </c>
    </row>
    <row r="42" spans="1:2">
      <c r="A42" s="99" t="s">
        <v>386</v>
      </c>
      <c r="B42" s="99" t="str">
        <f>CONCATENATE(IF('Employee Data Form'!U45="","",UPPER('Employee Data Form'!U45)),"-",IF('Employee Data Form'!W45="","",UPPER('Employee Data Form'!W45)),"-",IF('Employee Data Form'!Y45="","",UPPER('Employee Data Form'!Y45)))</f>
        <v>4-APR-1994</v>
      </c>
    </row>
    <row r="43" spans="1:2">
      <c r="A43" s="99" t="s">
        <v>387</v>
      </c>
      <c r="B43" s="99" t="str">
        <f>UPPER('Employee Data Form'!AA45)</f>
        <v>JOB</v>
      </c>
    </row>
    <row r="44" spans="1:2">
      <c r="A44" s="99" t="s">
        <v>388</v>
      </c>
      <c r="B44" s="99" t="str">
        <f>UPPER('Employee Data Form'!F46)</f>
        <v>KOMMULA SHIVA</v>
      </c>
    </row>
    <row r="45" spans="1:2">
      <c r="A45" s="99" t="s">
        <v>389</v>
      </c>
      <c r="B45" s="99" t="str">
        <f>UPPER('Employee Data Form'!P46)</f>
        <v>BROTHER</v>
      </c>
    </row>
    <row r="46" spans="1:2">
      <c r="A46" s="99" t="s">
        <v>390</v>
      </c>
      <c r="B46" s="99" t="str">
        <f>CONCATENATE(IF('Employee Data Form'!U46="","",UPPER('Employee Data Form'!U46)),"-",IF('Employee Data Form'!W46="","",UPPER('Employee Data Form'!W46)),"-",IF('Employee Data Form'!Y46="","",UPPER('Employee Data Form'!Y46)))</f>
        <v>10-SEP-1996</v>
      </c>
    </row>
    <row r="47" spans="1:2">
      <c r="A47" s="99" t="s">
        <v>391</v>
      </c>
      <c r="B47" s="99" t="str">
        <f>UPPER('Employee Data Form'!AA46)</f>
        <v>JOB</v>
      </c>
    </row>
    <row r="48" spans="1:2">
      <c r="A48" s="99" t="s">
        <v>392</v>
      </c>
      <c r="B48" s="99" t="str">
        <f>UPPER('Employee Data Form'!F47)</f>
        <v/>
      </c>
    </row>
    <row r="49" spans="1:2">
      <c r="A49" s="99" t="s">
        <v>393</v>
      </c>
      <c r="B49" s="99" t="str">
        <f>UPPER('Employee Data Form'!P47)</f>
        <v/>
      </c>
    </row>
    <row r="50" spans="1:2">
      <c r="A50" s="99" t="s">
        <v>394</v>
      </c>
      <c r="B50" s="99" t="str">
        <f>CONCATENATE(IF('Employee Data Form'!U47="","",UPPER('Employee Data Form'!U47)),"-",IF('Employee Data Form'!W47="","",UPPER('Employee Data Form'!W47)),"-",IF('Employee Data Form'!Y47="","",UPPER('Employee Data Form'!Y47)))</f>
        <v>--</v>
      </c>
    </row>
    <row r="51" spans="1:2">
      <c r="A51" s="99" t="s">
        <v>395</v>
      </c>
      <c r="B51" s="99" t="str">
        <f>UPPER('Employee Data Form'!AA47)</f>
        <v/>
      </c>
    </row>
    <row r="52" spans="1:2">
      <c r="A52" s="99" t="s">
        <v>396</v>
      </c>
      <c r="B52" s="99" t="str">
        <f>UPPER('Employee Data Form'!F48)</f>
        <v/>
      </c>
    </row>
    <row r="53" spans="1:2">
      <c r="A53" s="99" t="s">
        <v>397</v>
      </c>
      <c r="B53" s="99" t="str">
        <f>UPPER('Employee Data Form'!P48)</f>
        <v/>
      </c>
    </row>
    <row r="54" spans="1:2">
      <c r="A54" s="99" t="s">
        <v>398</v>
      </c>
      <c r="B54" s="99" t="str">
        <f>CONCATENATE(IF('Employee Data Form'!U48="","",UPPER('Employee Data Form'!U48)),"-",IF('Employee Data Form'!W48="","",UPPER('Employee Data Form'!W48)),"-",IF('Employee Data Form'!Y48="","",UPPER('Employee Data Form'!Y48)))</f>
        <v>--</v>
      </c>
    </row>
    <row r="55" spans="1:2">
      <c r="A55" s="99" t="s">
        <v>399</v>
      </c>
      <c r="B55" s="99" t="str">
        <f>UPPER('Employee Data Form'!AA48)</f>
        <v/>
      </c>
    </row>
    <row r="56" spans="1:2">
      <c r="A56" s="99" t="s">
        <v>400</v>
      </c>
      <c r="B56" s="99" t="str">
        <f>UPPER('Employee Data Form'!F49)</f>
        <v/>
      </c>
    </row>
    <row r="57" spans="1:2">
      <c r="A57" s="99" t="s">
        <v>401</v>
      </c>
      <c r="B57" s="99" t="str">
        <f>UPPER('Employee Data Form'!P49)</f>
        <v/>
      </c>
    </row>
    <row r="58" spans="1:2">
      <c r="A58" s="99" t="s">
        <v>402</v>
      </c>
      <c r="B58" s="99" t="str">
        <f>CONCATENATE(IF('Employee Data Form'!U49="","",UPPER('Employee Data Form'!U49)),"-",IF('Employee Data Form'!W49="","",UPPER('Employee Data Form'!W49)),"-",IF('Employee Data Form'!Y49="","",UPPER('Employee Data Form'!Y49)))</f>
        <v>--</v>
      </c>
    </row>
    <row r="59" spans="1:2">
      <c r="A59" s="99" t="s">
        <v>403</v>
      </c>
      <c r="B59" s="99" t="str">
        <f>UPPER('Employee Data Form'!AA49)</f>
        <v/>
      </c>
    </row>
    <row r="60" spans="1:2">
      <c r="A60" s="99" t="s">
        <v>404</v>
      </c>
      <c r="B60" s="99" t="str">
        <f>UPPER('Employee Data Form'!F50)</f>
        <v/>
      </c>
    </row>
    <row r="61" spans="1:2">
      <c r="A61" s="99" t="s">
        <v>405</v>
      </c>
      <c r="B61" s="99" t="str">
        <f>UPPER('Employee Data Form'!T50)</f>
        <v/>
      </c>
    </row>
    <row r="62" spans="1:2">
      <c r="A62" s="99" t="s">
        <v>406</v>
      </c>
      <c r="B62" s="99" t="str">
        <f>CONCATENATE(IF('Employee Data Form'!Y50="","",UPPER('Employee Data Form'!Y50)),"-",IF('Employee Data Form'!AA50="","",UPPER('Employee Data Form'!AA50)),"-",IF('Employee Data Form'!AC50="","",UPPER('Employee Data Form'!AC50)))</f>
        <v>--</v>
      </c>
    </row>
    <row r="63" spans="1:2">
      <c r="A63" s="99" t="s">
        <v>407</v>
      </c>
      <c r="B63" s="99" t="str">
        <f>UPPER('Employee Data Form'!AE50)</f>
        <v/>
      </c>
    </row>
    <row r="64" spans="1:2">
      <c r="A64" s="99" t="s">
        <v>408</v>
      </c>
      <c r="B64" s="99" t="str">
        <f>UPPER('Employee Data Form'!C54)</f>
        <v>DEC</v>
      </c>
    </row>
    <row r="65" spans="1:2">
      <c r="A65" s="99" t="s">
        <v>409</v>
      </c>
      <c r="B65" s="99" t="str">
        <f>UPPER('Employee Data Form'!E54)</f>
        <v>2020</v>
      </c>
    </row>
    <row r="66" spans="1:2">
      <c r="A66" s="99" t="s">
        <v>410</v>
      </c>
      <c r="B66" s="99" t="str">
        <f>UPPER('Employee Data Form'!H54)</f>
        <v xml:space="preserve">DEGREE 
 </v>
      </c>
    </row>
    <row r="67" spans="1:2">
      <c r="A67" s="99" t="s">
        <v>411</v>
      </c>
      <c r="B67" s="99" t="str">
        <f>UPPER('Employee Data Form'!N54)</f>
        <v>BSC(STATISTICS)</v>
      </c>
    </row>
    <row r="68" spans="1:2">
      <c r="A68" s="99" t="s">
        <v>412</v>
      </c>
      <c r="B68" s="99" t="str">
        <f>UPPER('Employee Data Form'!T54)</f>
        <v>VAGDEVI DEGREE COLLEGE</v>
      </c>
    </row>
    <row r="69" spans="1:2">
      <c r="A69" s="99" t="s">
        <v>413</v>
      </c>
      <c r="B69" s="99" t="str">
        <f>UPPER('Employee Data Form'!Z54)</f>
        <v>KAKATIYA UNIVERSITY</v>
      </c>
    </row>
    <row r="70" spans="1:2">
      <c r="A70" s="99" t="s">
        <v>414</v>
      </c>
      <c r="B70" s="99" t="str">
        <f>UPPER('Employee Data Form'!AF54)</f>
        <v>0.65</v>
      </c>
    </row>
    <row r="71" spans="1:2">
      <c r="A71" s="99" t="s">
        <v>415</v>
      </c>
      <c r="B71" s="99" t="str">
        <f>UPPER('Employee Data Form'!C55)</f>
        <v>MAR</v>
      </c>
    </row>
    <row r="72" spans="1:2">
      <c r="A72" s="99" t="s">
        <v>416</v>
      </c>
      <c r="B72" s="99" t="str">
        <f>UPPER('Employee Data Form'!E55)</f>
        <v>2016</v>
      </c>
    </row>
    <row r="73" spans="1:2">
      <c r="A73" s="99" t="s">
        <v>417</v>
      </c>
      <c r="B73" s="99" t="str">
        <f>UPPER('Employee Data Form'!H55)</f>
        <v>INTERMEDIATE</v>
      </c>
    </row>
    <row r="74" spans="1:2">
      <c r="A74" s="99" t="s">
        <v>418</v>
      </c>
      <c r="B74" s="99" t="str">
        <f>UPPER('Employee Data Form'!N55)</f>
        <v>MPC</v>
      </c>
    </row>
    <row r="75" spans="1:2">
      <c r="A75" s="99" t="s">
        <v>419</v>
      </c>
      <c r="B75" s="99" t="str">
        <f>UPPER('Employee Data Form'!T55)</f>
        <v>VIGNAN JUNIOR COLLEGE</v>
      </c>
    </row>
    <row r="76" spans="1:2">
      <c r="A76" s="99" t="s">
        <v>420</v>
      </c>
      <c r="B76" s="99" t="str">
        <f>UPPER('Employee Data Form'!Z55)</f>
        <v>KAKATIYA UNIVERSITY</v>
      </c>
    </row>
    <row r="77" spans="1:2">
      <c r="A77" s="99" t="s">
        <v>421</v>
      </c>
      <c r="B77" s="99" t="str">
        <f>UPPER('Employee Data Form'!AF55)</f>
        <v>0.744</v>
      </c>
    </row>
    <row r="78" spans="1:2">
      <c r="A78" s="99" t="s">
        <v>422</v>
      </c>
      <c r="B78" s="99" t="str">
        <f>UPPER('Employee Data Form'!C56)</f>
        <v>MAR</v>
      </c>
    </row>
    <row r="79" spans="1:2">
      <c r="A79" s="99" t="s">
        <v>423</v>
      </c>
      <c r="B79" s="99" t="str">
        <f>UPPER('Employee Data Form'!E56)</f>
        <v>2014</v>
      </c>
    </row>
    <row r="80" spans="1:2">
      <c r="A80" s="99" t="s">
        <v>424</v>
      </c>
      <c r="B80" s="99" t="str">
        <f>UPPER('Employee Data Form'!H56)</f>
        <v>SSC</v>
      </c>
    </row>
    <row r="81" spans="1:2">
      <c r="A81" s="99" t="s">
        <v>425</v>
      </c>
      <c r="B81" s="99" t="str">
        <f>UPPER('Employee Data Form'!N56)</f>
        <v>GENRAL</v>
      </c>
    </row>
    <row r="82" spans="1:2">
      <c r="A82" s="99" t="s">
        <v>426</v>
      </c>
      <c r="B82" s="99" t="str">
        <f>UPPER('Employee Data Form'!T56)</f>
        <v>ZPHS GOURAVELLY</v>
      </c>
    </row>
    <row r="83" spans="1:2">
      <c r="A83" s="99" t="s">
        <v>427</v>
      </c>
      <c r="B83" s="99" t="str">
        <f>UPPER('Employee Data Form'!Z56)</f>
        <v>SSC BOARD</v>
      </c>
    </row>
    <row r="84" spans="1:2">
      <c r="A84" s="99" t="s">
        <v>428</v>
      </c>
      <c r="B84" s="99" t="str">
        <f>UPPER('Employee Data Form'!AF56)</f>
        <v>7.8 GPA</v>
      </c>
    </row>
    <row r="85" spans="1:2">
      <c r="A85" s="99" t="s">
        <v>429</v>
      </c>
      <c r="B85" s="99" t="str">
        <f>UPPER('Employee Data Form'!C57)</f>
        <v/>
      </c>
    </row>
    <row r="86" spans="1:2">
      <c r="A86" s="99" t="s">
        <v>430</v>
      </c>
      <c r="B86" s="99" t="str">
        <f>UPPER('Employee Data Form'!E57)</f>
        <v/>
      </c>
    </row>
    <row r="87" spans="1:2">
      <c r="A87" s="99" t="s">
        <v>431</v>
      </c>
      <c r="B87" s="99" t="str">
        <f>UPPER('Employee Data Form'!H57)</f>
        <v/>
      </c>
    </row>
    <row r="88" spans="1:2">
      <c r="A88" s="99" t="s">
        <v>432</v>
      </c>
      <c r="B88" s="99" t="str">
        <f>UPPER('Employee Data Form'!N57)</f>
        <v/>
      </c>
    </row>
    <row r="89" spans="1:2">
      <c r="A89" s="99" t="s">
        <v>433</v>
      </c>
      <c r="B89" s="99" t="str">
        <f>UPPER('Employee Data Form'!T57)</f>
        <v/>
      </c>
    </row>
    <row r="90" spans="1:2">
      <c r="A90" s="99" t="s">
        <v>434</v>
      </c>
      <c r="B90" s="99" t="str">
        <f>UPPER('Employee Data Form'!Z57)</f>
        <v/>
      </c>
    </row>
    <row r="91" spans="1:2">
      <c r="A91" s="99" t="s">
        <v>435</v>
      </c>
      <c r="B91" s="99" t="str">
        <f>UPPER('Employee Data Form'!AF57)</f>
        <v/>
      </c>
    </row>
    <row r="92" spans="1:2">
      <c r="A92" s="99" t="s">
        <v>436</v>
      </c>
      <c r="B92" s="99" t="str">
        <f>UPPER('Employee Data Form'!C58)</f>
        <v/>
      </c>
    </row>
    <row r="93" spans="1:2">
      <c r="A93" s="99" t="s">
        <v>437</v>
      </c>
      <c r="B93" s="99" t="str">
        <f>UPPER('Employee Data Form'!E58)</f>
        <v/>
      </c>
    </row>
    <row r="94" spans="1:2">
      <c r="A94" s="99" t="s">
        <v>438</v>
      </c>
      <c r="B94" s="99" t="str">
        <f>UPPER('Employee Data Form'!H58)</f>
        <v/>
      </c>
    </row>
    <row r="95" spans="1:2">
      <c r="A95" s="99" t="s">
        <v>439</v>
      </c>
      <c r="B95" s="99" t="str">
        <f>UPPER('Employee Data Form'!N58)</f>
        <v/>
      </c>
    </row>
    <row r="96" spans="1:2">
      <c r="A96" s="99" t="s">
        <v>440</v>
      </c>
      <c r="B96" s="99" t="str">
        <f>UPPER('Employee Data Form'!T58)</f>
        <v/>
      </c>
    </row>
    <row r="97" spans="1:2">
      <c r="A97" s="99" t="s">
        <v>441</v>
      </c>
      <c r="B97" s="99" t="str">
        <f>UPPER('Employee Data Form'!Z58)</f>
        <v/>
      </c>
    </row>
    <row r="98" spans="1:2">
      <c r="A98" s="99" t="s">
        <v>442</v>
      </c>
      <c r="B98" s="99" t="str">
        <f>UPPER('Employee Data Form'!AF58)</f>
        <v/>
      </c>
    </row>
    <row r="99" spans="1:2">
      <c r="A99" s="99" t="s">
        <v>443</v>
      </c>
      <c r="B99" s="99" t="e">
        <f>UPPER('Employee Data Form'!#REF!)</f>
        <v>#REF!</v>
      </c>
    </row>
    <row r="100" spans="1:2">
      <c r="A100" s="99" t="s">
        <v>444</v>
      </c>
      <c r="B100" s="99" t="e">
        <f>UPPER('Employee Data Form'!#REF!)</f>
        <v>#REF!</v>
      </c>
    </row>
    <row r="101" spans="1:2">
      <c r="A101" s="1" t="s">
        <v>445</v>
      </c>
      <c r="B101" s="99"/>
    </row>
    <row r="102" spans="1:2">
      <c r="A102" s="99" t="s">
        <v>446</v>
      </c>
      <c r="B102" s="99" t="str">
        <f>UPPER('Employee Data Form'!C63)</f>
        <v>JUN</v>
      </c>
    </row>
    <row r="103" spans="1:2">
      <c r="A103" s="99" t="s">
        <v>447</v>
      </c>
      <c r="B103" s="99" t="str">
        <f>UPPER('Employee Data Form'!E63)</f>
        <v>2022</v>
      </c>
    </row>
    <row r="104" spans="1:2">
      <c r="A104" s="99" t="s">
        <v>448</v>
      </c>
      <c r="B104" s="99" t="str">
        <f>UPPER('Employee Data Form'!G63)</f>
        <v>NOV</v>
      </c>
    </row>
    <row r="105" spans="1:2">
      <c r="A105" s="99" t="s">
        <v>449</v>
      </c>
      <c r="B105" s="99" t="str">
        <f>UPPER('Employee Data Form'!I63)</f>
        <v>2022</v>
      </c>
    </row>
    <row r="106" spans="1:2">
      <c r="A106" s="99" t="s">
        <v>450</v>
      </c>
      <c r="B106" s="99" t="str">
        <f>UPPER('Employee Data Form'!K63)</f>
        <v>BHARATHI AIRTEL</v>
      </c>
    </row>
    <row r="107" spans="1:2">
      <c r="A107" s="99" t="s">
        <v>451</v>
      </c>
      <c r="B107" s="99" t="str">
        <f>UPPER('Employee Data Form'!T63)</f>
        <v>ETREME FIBRE EXECUTIVE</v>
      </c>
    </row>
    <row r="108" spans="1:2">
      <c r="A108" s="99" t="s">
        <v>452</v>
      </c>
      <c r="B108" s="99" t="str">
        <f>UPPER('Employee Data Form'!AB63)</f>
        <v>PERSONAL PROBLEM</v>
      </c>
    </row>
    <row r="109" spans="1:2">
      <c r="A109" s="99" t="s">
        <v>453</v>
      </c>
      <c r="B109" s="99" t="str">
        <f>UPPER('Employee Data Form'!C64)</f>
        <v>SEP</v>
      </c>
    </row>
    <row r="110" spans="1:2">
      <c r="A110" s="99" t="s">
        <v>454</v>
      </c>
      <c r="B110" s="99" t="str">
        <f>UPPER('Employee Data Form'!E64)</f>
        <v>2021</v>
      </c>
    </row>
    <row r="111" spans="1:2">
      <c r="A111" s="99" t="s">
        <v>455</v>
      </c>
      <c r="B111" s="99" t="str">
        <f>UPPER('Employee Data Form'!G64)</f>
        <v>APR</v>
      </c>
    </row>
    <row r="112" spans="1:2">
      <c r="A112" s="99" t="s">
        <v>456</v>
      </c>
      <c r="B112" s="99" t="str">
        <f>UPPER('Employee Data Form'!I64)</f>
        <v>2022</v>
      </c>
    </row>
    <row r="113" spans="1:2">
      <c r="A113" s="99" t="s">
        <v>457</v>
      </c>
      <c r="B113" s="99" t="str">
        <f>UPPER('Employee Data Form'!K64)</f>
        <v>HDFC BANK</v>
      </c>
    </row>
    <row r="114" spans="1:2">
      <c r="A114" s="99" t="s">
        <v>458</v>
      </c>
      <c r="B114" s="99" t="str">
        <f>UPPER('Employee Data Form'!T64)</f>
        <v>SALES EXECUTIVE</v>
      </c>
    </row>
    <row r="115" spans="1:2">
      <c r="A115" s="99" t="s">
        <v>459</v>
      </c>
      <c r="B115" s="99" t="str">
        <f>UPPER('Employee Data Form'!AB64)</f>
        <v>PERSONAL PROBLEM</v>
      </c>
    </row>
    <row r="116" spans="1:2">
      <c r="A116" s="99" t="s">
        <v>460</v>
      </c>
      <c r="B116" s="99" t="str">
        <f>UPPER('Employee Data Form'!C65)</f>
        <v/>
      </c>
    </row>
    <row r="117" spans="1:2">
      <c r="A117" s="99" t="s">
        <v>461</v>
      </c>
      <c r="B117" s="99" t="str">
        <f>UPPER('Employee Data Form'!E65)</f>
        <v/>
      </c>
    </row>
    <row r="118" spans="1:2">
      <c r="A118" s="99" t="s">
        <v>462</v>
      </c>
      <c r="B118" s="99" t="str">
        <f>UPPER('Employee Data Form'!G65)</f>
        <v/>
      </c>
    </row>
    <row r="119" spans="1:2">
      <c r="A119" s="99" t="s">
        <v>463</v>
      </c>
      <c r="B119" s="99" t="str">
        <f>UPPER('Employee Data Form'!I65)</f>
        <v/>
      </c>
    </row>
    <row r="120" spans="1:2">
      <c r="A120" s="99" t="s">
        <v>464</v>
      </c>
      <c r="B120" s="99" t="str">
        <f>UPPER('Employee Data Form'!K65)</f>
        <v/>
      </c>
    </row>
    <row r="121" spans="1:2">
      <c r="A121" s="99" t="s">
        <v>465</v>
      </c>
      <c r="B121" s="99" t="str">
        <f>UPPER('Employee Data Form'!T65)</f>
        <v/>
      </c>
    </row>
    <row r="122" spans="1:2">
      <c r="A122" s="99" t="s">
        <v>466</v>
      </c>
      <c r="B122" s="99" t="str">
        <f>UPPER('Employee Data Form'!AB65)</f>
        <v/>
      </c>
    </row>
    <row r="123" spans="1:2">
      <c r="A123" s="99" t="s">
        <v>467</v>
      </c>
      <c r="B123" s="99" t="str">
        <f>UPPER('Employee Data Form'!C66)</f>
        <v/>
      </c>
    </row>
    <row r="124" spans="1:2">
      <c r="A124" s="99" t="s">
        <v>468</v>
      </c>
      <c r="B124" s="99" t="str">
        <f>UPPER('Employee Data Form'!E66)</f>
        <v/>
      </c>
    </row>
    <row r="125" spans="1:2">
      <c r="A125" s="99" t="s">
        <v>469</v>
      </c>
      <c r="B125" s="99" t="str">
        <f>UPPER('Employee Data Form'!G66)</f>
        <v/>
      </c>
    </row>
    <row r="126" spans="1:2">
      <c r="A126" s="99" t="s">
        <v>470</v>
      </c>
      <c r="B126" s="99" t="str">
        <f>UPPER('Employee Data Form'!I66)</f>
        <v/>
      </c>
    </row>
    <row r="127" spans="1:2">
      <c r="A127" s="99" t="s">
        <v>471</v>
      </c>
      <c r="B127" s="99" t="str">
        <f>UPPER('Employee Data Form'!K66)</f>
        <v/>
      </c>
    </row>
    <row r="128" spans="1:2">
      <c r="A128" s="99" t="s">
        <v>472</v>
      </c>
      <c r="B128" s="99" t="str">
        <f>UPPER('Employee Data Form'!T66)</f>
        <v/>
      </c>
    </row>
    <row r="129" spans="1:2">
      <c r="A129" s="99" t="s">
        <v>473</v>
      </c>
      <c r="B129" s="99" t="str">
        <f>UPPER('Employee Data Form'!AB66)</f>
        <v/>
      </c>
    </row>
    <row r="130" spans="1:2">
      <c r="A130" s="99" t="s">
        <v>474</v>
      </c>
      <c r="B130" s="99" t="str">
        <f>UPPER('Employee Data Form'!C67)</f>
        <v/>
      </c>
    </row>
    <row r="131" spans="1:2">
      <c r="A131" s="99" t="s">
        <v>475</v>
      </c>
      <c r="B131" s="99" t="str">
        <f>UPPER('Employee Data Form'!E67)</f>
        <v/>
      </c>
    </row>
    <row r="132" spans="1:2">
      <c r="A132" s="99" t="s">
        <v>476</v>
      </c>
      <c r="B132" s="99" t="str">
        <f>UPPER('Employee Data Form'!G67)</f>
        <v/>
      </c>
    </row>
    <row r="133" spans="1:2">
      <c r="A133" s="99" t="s">
        <v>477</v>
      </c>
      <c r="B133" s="99" t="str">
        <f>UPPER('Employee Data Form'!I67)</f>
        <v/>
      </c>
    </row>
    <row r="134" spans="1:2">
      <c r="A134" s="99" t="s">
        <v>478</v>
      </c>
      <c r="B134" s="99" t="str">
        <f>UPPER('Employee Data Form'!K67)</f>
        <v/>
      </c>
    </row>
    <row r="135" spans="1:2">
      <c r="A135" s="99" t="s">
        <v>479</v>
      </c>
      <c r="B135" s="99" t="str">
        <f>UPPER('Employee Data Form'!T67)</f>
        <v/>
      </c>
    </row>
    <row r="136" spans="1:2">
      <c r="A136" s="99" t="s">
        <v>480</v>
      </c>
      <c r="B136" s="99" t="str">
        <f>UPPER('Employee Data Form'!AB67)</f>
        <v/>
      </c>
    </row>
    <row r="137" spans="1:2">
      <c r="A137" s="99" t="s">
        <v>481</v>
      </c>
      <c r="B137" s="99" t="str">
        <f>UPPER('Employee Data Form'!C68)</f>
        <v/>
      </c>
    </row>
    <row r="138" spans="1:2">
      <c r="A138" s="99" t="s">
        <v>482</v>
      </c>
      <c r="B138" s="99" t="str">
        <f>UPPER('Employee Data Form'!E68)</f>
        <v/>
      </c>
    </row>
    <row r="139" spans="1:2">
      <c r="A139" s="99" t="s">
        <v>483</v>
      </c>
      <c r="B139" s="99" t="str">
        <f>UPPER('Employee Data Form'!G68)</f>
        <v/>
      </c>
    </row>
    <row r="140" spans="1:2">
      <c r="A140" s="99" t="s">
        <v>484</v>
      </c>
      <c r="B140" s="99" t="str">
        <f>UPPER('Employee Data Form'!I68)</f>
        <v/>
      </c>
    </row>
    <row r="141" spans="1:2">
      <c r="A141" s="99" t="s">
        <v>485</v>
      </c>
      <c r="B141" s="99" t="str">
        <f>UPPER('Employee Data Form'!K68)</f>
        <v/>
      </c>
    </row>
    <row r="142" spans="1:2">
      <c r="A142" s="99" t="s">
        <v>486</v>
      </c>
      <c r="B142" s="99" t="str">
        <f>UPPER('Employee Data Form'!T68)</f>
        <v/>
      </c>
    </row>
    <row r="143" spans="1:2">
      <c r="A143" s="99" t="s">
        <v>487</v>
      </c>
      <c r="B143" s="99" t="str">
        <f>UPPER('Employee Data Form'!AB68)</f>
        <v/>
      </c>
    </row>
    <row r="144" spans="1:2">
      <c r="A144" s="99" t="s">
        <v>788</v>
      </c>
      <c r="B144" s="99" t="str">
        <f>UPPER('Employee Data Form'!K81)</f>
        <v/>
      </c>
    </row>
    <row r="145" spans="1:2">
      <c r="A145" s="99" t="s">
        <v>488</v>
      </c>
      <c r="B145" s="99" t="str">
        <f>UPPER('Employee Data Form'!K82)</f>
        <v/>
      </c>
    </row>
    <row r="146" spans="1:2">
      <c r="A146" s="99" t="s">
        <v>489</v>
      </c>
      <c r="B146" s="99" t="str">
        <f>UPPER('Employee Data Form'!K83)</f>
        <v/>
      </c>
    </row>
    <row r="147" spans="1:2">
      <c r="A147" s="99" t="s">
        <v>490</v>
      </c>
      <c r="B147" s="99" t="str">
        <f>UPPER('Employee Data Form'!L83)</f>
        <v>JUN</v>
      </c>
    </row>
    <row r="148" spans="1:2">
      <c r="A148" s="99" t="s">
        <v>491</v>
      </c>
      <c r="B148" s="99" t="str">
        <f>UPPER('Employee Data Form'!N83)</f>
        <v>2022</v>
      </c>
    </row>
    <row r="149" spans="1:2">
      <c r="A149" s="99" t="s">
        <v>492</v>
      </c>
      <c r="B149" s="99" t="str">
        <f>UPPER('Employee Data Form'!R83)</f>
        <v/>
      </c>
    </row>
    <row r="150" spans="1:2">
      <c r="A150" s="99" t="s">
        <v>493</v>
      </c>
      <c r="B150" s="99" t="str">
        <f>UPPER('Employee Data Form'!S83)</f>
        <v>NOV</v>
      </c>
    </row>
    <row r="151" spans="1:2">
      <c r="A151" s="99" t="s">
        <v>494</v>
      </c>
      <c r="B151" s="99" t="str">
        <f>UPPER('Employee Data Form'!U83)</f>
        <v>2022</v>
      </c>
    </row>
    <row r="152" spans="1:2">
      <c r="A152" s="99" t="s">
        <v>495</v>
      </c>
      <c r="B152" s="99" t="str">
        <f>UPPER('Employee Data Form'!K84)</f>
        <v>EXTREME AIRTEL FIBRE</v>
      </c>
    </row>
    <row r="153" spans="1:2">
      <c r="A153" s="99" t="s">
        <v>496</v>
      </c>
      <c r="B153" s="99" t="str">
        <f>UPPER('Employee Data Form'!K85)</f>
        <v>22000</v>
      </c>
    </row>
    <row r="154" spans="1:2">
      <c r="A154" s="99" t="s">
        <v>497</v>
      </c>
      <c r="B154" s="99" t="str">
        <f>UPPER('Employee Data Form'!K86)</f>
        <v>DATTU</v>
      </c>
    </row>
    <row r="155" spans="1:2">
      <c r="A155" s="99" t="s">
        <v>498</v>
      </c>
      <c r="B155" s="99" t="str">
        <f>UPPER('Employee Data Form'!K87)</f>
        <v>9063638579</v>
      </c>
    </row>
    <row r="156" spans="1:2">
      <c r="A156" s="99" t="s">
        <v>499</v>
      </c>
      <c r="B156" s="99" t="str">
        <f>UPPER('Employee Data Form'!K88)</f>
        <v>PERSONAL PROBLEM</v>
      </c>
    </row>
    <row r="157" spans="1:2">
      <c r="A157" s="99" t="s">
        <v>500</v>
      </c>
      <c r="B157" s="99" t="str">
        <f>UPPER('Employee Data Form'!K89)</f>
        <v>V5254331</v>
      </c>
    </row>
    <row r="158" spans="1:2">
      <c r="A158" s="99" t="s">
        <v>789</v>
      </c>
      <c r="B158" s="99" t="str">
        <f>UPPER('Employee Data Form'!W81)</f>
        <v/>
      </c>
    </row>
    <row r="159" spans="1:2">
      <c r="A159" s="99" t="s">
        <v>501</v>
      </c>
      <c r="B159" s="99" t="str">
        <f>UPPER('Employee Data Form'!W82)</f>
        <v/>
      </c>
    </row>
    <row r="160" spans="1:2">
      <c r="A160" s="99" t="s">
        <v>502</v>
      </c>
      <c r="B160" s="99" t="str">
        <f>UPPER('Employee Data Form'!W83)</f>
        <v/>
      </c>
    </row>
    <row r="161" spans="1:2">
      <c r="A161" s="99" t="s">
        <v>503</v>
      </c>
      <c r="B161" s="99" t="str">
        <f>UPPER('Employee Data Form'!X83)</f>
        <v>SEP</v>
      </c>
    </row>
    <row r="162" spans="1:2">
      <c r="A162" s="99" t="s">
        <v>504</v>
      </c>
      <c r="B162" s="99" t="str">
        <f>UPPER('Employee Data Form'!Z83)</f>
        <v>2021</v>
      </c>
    </row>
    <row r="163" spans="1:2">
      <c r="A163" s="99" t="s">
        <v>505</v>
      </c>
      <c r="B163" s="99" t="str">
        <f>UPPER('Employee Data Form'!AD83)</f>
        <v/>
      </c>
    </row>
    <row r="164" spans="1:2">
      <c r="A164" s="99" t="s">
        <v>506</v>
      </c>
      <c r="B164" s="99" t="str">
        <f>UPPER('Employee Data Form'!AE83)</f>
        <v>APR</v>
      </c>
    </row>
    <row r="165" spans="1:2">
      <c r="A165" s="99" t="s">
        <v>507</v>
      </c>
      <c r="B165" s="99" t="str">
        <f>UPPER('Employee Data Form'!AG83)</f>
        <v>2022</v>
      </c>
    </row>
    <row r="166" spans="1:2">
      <c r="A166" s="99" t="s">
        <v>508</v>
      </c>
      <c r="B166" s="99" t="str">
        <f>UPPER('Employee Data Form'!W84)</f>
        <v>SALES EXECUTIVE</v>
      </c>
    </row>
    <row r="167" spans="1:2">
      <c r="A167" s="99" t="s">
        <v>509</v>
      </c>
      <c r="B167" s="99" t="str">
        <f>UPPER('Employee Data Form'!W85)</f>
        <v>16000</v>
      </c>
    </row>
    <row r="168" spans="1:2">
      <c r="A168" s="99" t="s">
        <v>510</v>
      </c>
      <c r="B168" s="99" t="str">
        <f>UPPER('Employee Data Form'!W86)</f>
        <v>VENKATESH</v>
      </c>
    </row>
    <row r="169" spans="1:2">
      <c r="A169" s="99" t="s">
        <v>511</v>
      </c>
      <c r="B169" s="99" t="str">
        <f>UPPER('Employee Data Form'!W87)</f>
        <v>9959947367</v>
      </c>
    </row>
    <row r="170" spans="1:2">
      <c r="A170" s="99" t="s">
        <v>512</v>
      </c>
      <c r="B170" s="99" t="str">
        <f>UPPER('Employee Data Form'!W88)</f>
        <v>PERSONAL PROBLEM</v>
      </c>
    </row>
    <row r="171" spans="1:2">
      <c r="A171" s="99" t="s">
        <v>513</v>
      </c>
      <c r="B171" s="99" t="str">
        <f>UPPER('Employee Data Form'!W89)</f>
        <v/>
      </c>
    </row>
    <row r="172" spans="1:2">
      <c r="A172" s="99" t="s">
        <v>514</v>
      </c>
      <c r="B172" s="99" t="str">
        <f>UPPER('Employee Data Form'!K95)</f>
        <v xml:space="preserve"> MAHESH</v>
      </c>
    </row>
    <row r="173" spans="1:2">
      <c r="A173" s="99" t="s">
        <v>515</v>
      </c>
      <c r="B173" s="99" t="str">
        <f>UPPER('Employee Data Form'!K96)</f>
        <v>SALES EXECUTIVE</v>
      </c>
    </row>
    <row r="174" spans="1:2">
      <c r="A174" s="99" t="s">
        <v>516</v>
      </c>
      <c r="B174" s="99" t="str">
        <f>UPPER('Employee Data Form'!K97)</f>
        <v>HDFC BANK</v>
      </c>
    </row>
    <row r="175" spans="1:2">
      <c r="A175" s="99" t="s">
        <v>517</v>
      </c>
      <c r="B175" s="99" t="str">
        <f>UPPER('Employee Data Form'!K98)</f>
        <v/>
      </c>
    </row>
    <row r="176" spans="1:2">
      <c r="A176" s="99" t="s">
        <v>518</v>
      </c>
      <c r="B176" s="99" t="str">
        <f>UPPER('Employee Data Form'!K99)</f>
        <v>9701029625</v>
      </c>
    </row>
    <row r="177" spans="1:2">
      <c r="A177" s="99" t="s">
        <v>519</v>
      </c>
      <c r="B177" s="99" t="str">
        <f>UPPER('Employee Data Form'!K100)</f>
        <v/>
      </c>
    </row>
    <row r="178" spans="1:2">
      <c r="A178" s="99" t="s">
        <v>520</v>
      </c>
      <c r="B178" s="99" t="str">
        <f>UPPER('Employee Data Form'!K101)</f>
        <v/>
      </c>
    </row>
    <row r="179" spans="1:2">
      <c r="A179" s="99" t="s">
        <v>521</v>
      </c>
      <c r="B179" s="99" t="str">
        <f>UPPER('Employee Data Form'!W95)</f>
        <v/>
      </c>
    </row>
    <row r="180" spans="1:2">
      <c r="A180" s="99" t="s">
        <v>522</v>
      </c>
      <c r="B180" s="99" t="str">
        <f>UPPER('Employee Data Form'!W96)</f>
        <v/>
      </c>
    </row>
    <row r="181" spans="1:2">
      <c r="A181" s="99" t="s">
        <v>523</v>
      </c>
      <c r="B181" s="99" t="str">
        <f>UPPER('Employee Data Form'!W97)</f>
        <v/>
      </c>
    </row>
    <row r="182" spans="1:2">
      <c r="A182" s="99" t="s">
        <v>524</v>
      </c>
      <c r="B182" s="99" t="str">
        <f>UPPER('Employee Data Form'!W98)</f>
        <v/>
      </c>
    </row>
    <row r="183" spans="1:2">
      <c r="A183" s="99" t="s">
        <v>525</v>
      </c>
      <c r="B183" s="99" t="str">
        <f>UPPER('Employee Data Form'!W99)</f>
        <v/>
      </c>
    </row>
    <row r="184" spans="1:2">
      <c r="A184" s="99" t="s">
        <v>526</v>
      </c>
      <c r="B184" s="99" t="str">
        <f>UPPER('Employee Data Form'!W100)</f>
        <v/>
      </c>
    </row>
    <row r="185" spans="1:2">
      <c r="A185" s="99" t="s">
        <v>527</v>
      </c>
      <c r="B185" s="99" t="str">
        <f>UPPER('Employee Data Form'!W101)</f>
        <v/>
      </c>
    </row>
    <row r="186" spans="1:2">
      <c r="A186" s="1" t="s">
        <v>528</v>
      </c>
      <c r="B186" s="99"/>
    </row>
    <row r="187" spans="1:2">
      <c r="A187" s="99" t="s">
        <v>529</v>
      </c>
      <c r="B187" s="99" t="str">
        <f>UPPER('Employee Data Form'!AE122)</f>
        <v>NO</v>
      </c>
    </row>
    <row r="188" spans="1:2">
      <c r="A188" s="99" t="s">
        <v>530</v>
      </c>
      <c r="B188" s="99" t="str">
        <f>UPPER('Employee Data Form'!C127)</f>
        <v/>
      </c>
    </row>
    <row r="189" spans="1:2">
      <c r="A189" s="99" t="s">
        <v>531</v>
      </c>
      <c r="B189" s="99" t="str">
        <f>UPPER('Employee Data Form'!J127)</f>
        <v/>
      </c>
    </row>
    <row r="190" spans="1:2">
      <c r="A190" s="99" t="s">
        <v>532</v>
      </c>
      <c r="B190" s="99" t="str">
        <f>UPPER('Employee Data Form'!P127)</f>
        <v/>
      </c>
    </row>
    <row r="191" spans="1:2">
      <c r="A191" s="99" t="s">
        <v>533</v>
      </c>
      <c r="B191" s="99" t="str">
        <f>UPPER('Employee Data Form'!W127)</f>
        <v/>
      </c>
    </row>
    <row r="192" spans="1:2">
      <c r="A192" s="99" t="s">
        <v>534</v>
      </c>
      <c r="B192" s="99" t="str">
        <f>UPPER('Employee Data Form'!AB127)</f>
        <v/>
      </c>
    </row>
    <row r="193" spans="1:2">
      <c r="A193" s="99" t="s">
        <v>535</v>
      </c>
      <c r="B193" s="99" t="str">
        <f>UPPER('Employee Data Form'!C129)</f>
        <v/>
      </c>
    </row>
    <row r="194" spans="1:2">
      <c r="A194" s="99" t="s">
        <v>536</v>
      </c>
      <c r="B194" s="99" t="str">
        <f>UPPER('Employee Data Form'!J129)</f>
        <v/>
      </c>
    </row>
    <row r="195" spans="1:2">
      <c r="A195" s="99" t="s">
        <v>537</v>
      </c>
      <c r="B195" s="99" t="str">
        <f>UPPER('Employee Data Form'!P129)</f>
        <v/>
      </c>
    </row>
    <row r="196" spans="1:2">
      <c r="A196" s="99" t="s">
        <v>538</v>
      </c>
      <c r="B196" s="99" t="str">
        <f>UPPER('Employee Data Form'!W129)</f>
        <v/>
      </c>
    </row>
    <row r="197" spans="1:2">
      <c r="A197" s="99" t="s">
        <v>539</v>
      </c>
      <c r="B197" s="99" t="str">
        <f>UPPER('Employee Data Form'!AB129)</f>
        <v/>
      </c>
    </row>
    <row r="198" spans="1:2">
      <c r="A198" s="99" t="s">
        <v>540</v>
      </c>
      <c r="B198" s="99" t="e">
        <f>UPPER('Employee Data Form'!#REF!)</f>
        <v>#REF!</v>
      </c>
    </row>
    <row r="199" spans="1:2">
      <c r="A199" s="99" t="s">
        <v>541</v>
      </c>
      <c r="B199" s="99" t="e">
        <f>UPPER('Employee Data Form'!#REF!)</f>
        <v>#REF!</v>
      </c>
    </row>
    <row r="200" spans="1:2">
      <c r="A200" s="99" t="s">
        <v>542</v>
      </c>
      <c r="B200" s="99" t="e">
        <f>UPPER('Employee Data Form'!#REF!)</f>
        <v>#REF!</v>
      </c>
    </row>
    <row r="201" spans="1:2">
      <c r="A201" s="99" t="s">
        <v>543</v>
      </c>
      <c r="B201" s="99" t="e">
        <f>UPPER('Employee Data Form'!#REF!)</f>
        <v>#REF!</v>
      </c>
    </row>
    <row r="202" spans="1:2">
      <c r="A202" s="99" t="s">
        <v>544</v>
      </c>
      <c r="B202" s="99" t="e">
        <f>UPPER('Employee Data Form'!#REF!)</f>
        <v>#REF!</v>
      </c>
    </row>
    <row r="203" spans="1:2">
      <c r="A203" s="99" t="s">
        <v>545</v>
      </c>
      <c r="B203" s="99" t="e">
        <f>UPPER('Employee Data Form'!#REF!)</f>
        <v>#REF!</v>
      </c>
    </row>
    <row r="204" spans="1:2">
      <c r="A204" s="99" t="s">
        <v>546</v>
      </c>
      <c r="B204" s="99" t="e">
        <f>UPPER('Employee Data Form'!#REF!)</f>
        <v>#REF!</v>
      </c>
    </row>
    <row r="205" spans="1:2">
      <c r="A205" s="99" t="s">
        <v>547</v>
      </c>
      <c r="B205" s="99" t="e">
        <f>UPPER('Employee Data Form'!#REF!)</f>
        <v>#REF!</v>
      </c>
    </row>
    <row r="206" spans="1:2">
      <c r="A206" s="99" t="s">
        <v>548</v>
      </c>
      <c r="B206" s="99" t="e">
        <f>UPPER('Employee Data Form'!#REF!)</f>
        <v>#REF!</v>
      </c>
    </row>
    <row r="207" spans="1:2">
      <c r="A207" s="99" t="s">
        <v>549</v>
      </c>
      <c r="B207" s="99" t="e">
        <f>UPPER('Employee Data Form'!#REF!)</f>
        <v>#REF!</v>
      </c>
    </row>
    <row r="208" spans="1:2">
      <c r="A208" s="99" t="s">
        <v>550</v>
      </c>
      <c r="B208" s="99" t="e">
        <f>UPPER('Employee Data Form'!#REF!)</f>
        <v>#REF!</v>
      </c>
    </row>
    <row r="209" spans="1:2">
      <c r="A209" s="99" t="s">
        <v>551</v>
      </c>
      <c r="B209" s="99" t="e">
        <f>UPPER('Employee Data Form'!#REF!)</f>
        <v>#REF!</v>
      </c>
    </row>
    <row r="210" spans="1:2">
      <c r="A210" s="99" t="s">
        <v>552</v>
      </c>
      <c r="B210" s="99" t="e">
        <f>UPPER('Employee Data Form'!#REF!)</f>
        <v>#REF!</v>
      </c>
    </row>
    <row r="211" spans="1:2">
      <c r="A211" s="99" t="s">
        <v>553</v>
      </c>
      <c r="B211" s="99" t="e">
        <f>UPPER('Employee Data Form'!#REF!)</f>
        <v>#REF!</v>
      </c>
    </row>
    <row r="212" spans="1:2">
      <c r="A212" s="99" t="s">
        <v>554</v>
      </c>
      <c r="B212" s="99" t="e">
        <f>UPPER('Employee Data Form'!#REF!)</f>
        <v>#REF!</v>
      </c>
    </row>
    <row r="213" spans="1:2">
      <c r="A213" s="99" t="s">
        <v>555</v>
      </c>
      <c r="B213" s="99" t="e">
        <f>UPPER('Employee Data Form'!#REF!)</f>
        <v>#REF!</v>
      </c>
    </row>
    <row r="214" spans="1:2">
      <c r="A214" s="99" t="s">
        <v>556</v>
      </c>
      <c r="B214" s="99" t="e">
        <f>UPPER('Employee Data Form'!#REF!)</f>
        <v>#REF!</v>
      </c>
    </row>
    <row r="215" spans="1:2">
      <c r="A215" s="99" t="s">
        <v>557</v>
      </c>
      <c r="B215" s="99" t="e">
        <f>UPPER('Employee Data Form'!#REF!)</f>
        <v>#REF!</v>
      </c>
    </row>
    <row r="216" spans="1:2">
      <c r="A216" s="99" t="s">
        <v>558</v>
      </c>
      <c r="B216" s="99" t="e">
        <f>UPPER('Employee Data Form'!#REF!)</f>
        <v>#REF!</v>
      </c>
    </row>
    <row r="217" spans="1:2">
      <c r="A217" s="99" t="s">
        <v>559</v>
      </c>
      <c r="B217" s="99" t="e">
        <f>UPPER('Employee Data Form'!#REF!)</f>
        <v>#REF!</v>
      </c>
    </row>
    <row r="218" spans="1:2">
      <c r="A218" s="99" t="s">
        <v>560</v>
      </c>
      <c r="B218" s="99" t="e">
        <f>UPPER('Employee Data Form'!#REF!)</f>
        <v>#REF!</v>
      </c>
    </row>
    <row r="219" spans="1:2">
      <c r="A219" s="99" t="s">
        <v>561</v>
      </c>
      <c r="B219" s="99" t="e">
        <f>UPPER('Employee Data Form'!#REF!)</f>
        <v>#REF!</v>
      </c>
    </row>
    <row r="220" spans="1:2">
      <c r="A220" s="99" t="s">
        <v>562</v>
      </c>
      <c r="B220" s="99" t="e">
        <f>UPPER('Employee Data Form'!#REF!)</f>
        <v>#REF!</v>
      </c>
    </row>
    <row r="221" spans="1:2">
      <c r="A221" s="99" t="s">
        <v>563</v>
      </c>
      <c r="B221" s="99" t="e">
        <f>UPPER('Employee Data Form'!#REF!)</f>
        <v>#REF!</v>
      </c>
    </row>
    <row r="222" spans="1:2">
      <c r="A222" s="99" t="s">
        <v>564</v>
      </c>
      <c r="B222" s="99" t="e">
        <f>UPPER('Employee Data Form'!#REF!)</f>
        <v>#REF!</v>
      </c>
    </row>
    <row r="223" spans="1:2">
      <c r="A223" s="99" t="s">
        <v>565</v>
      </c>
      <c r="B223" s="99" t="e">
        <f>UPPER('Employee Data Form'!#REF!)</f>
        <v>#REF!</v>
      </c>
    </row>
    <row r="224" spans="1:2">
      <c r="A224" s="99" t="s">
        <v>566</v>
      </c>
      <c r="B224" s="99" t="e">
        <f>UPPER('Employee Data Form'!#REF!)</f>
        <v>#REF!</v>
      </c>
    </row>
    <row r="225" spans="1:2">
      <c r="A225" s="99" t="s">
        <v>567</v>
      </c>
      <c r="B225" s="99" t="e">
        <f>UPPER('Employee Data Form'!#REF!)</f>
        <v>#REF!</v>
      </c>
    </row>
    <row r="226" spans="1:2">
      <c r="A226" s="99" t="s">
        <v>568</v>
      </c>
      <c r="B226" s="99" t="e">
        <f>UPPER('Employee Data Form'!#REF!)</f>
        <v>#REF!</v>
      </c>
    </row>
    <row r="227" spans="1:2">
      <c r="A227" s="99" t="s">
        <v>569</v>
      </c>
      <c r="B227" s="99" t="e">
        <f>UPPER('Employee Data Form'!#REF!)</f>
        <v>#REF!</v>
      </c>
    </row>
    <row r="228" spans="1:2">
      <c r="A228" s="99" t="s">
        <v>570</v>
      </c>
      <c r="B228" s="99" t="e">
        <f>UPPER('Employee Data Form'!#REF!)</f>
        <v>#REF!</v>
      </c>
    </row>
    <row r="229" spans="1:2">
      <c r="A229" s="99" t="s">
        <v>571</v>
      </c>
      <c r="B229" s="99" t="e">
        <f>UPPER('Employee Data Form'!#REF!)</f>
        <v>#REF!</v>
      </c>
    </row>
    <row r="230" spans="1:2">
      <c r="A230" s="99" t="s">
        <v>572</v>
      </c>
      <c r="B230" s="99" t="e">
        <f>UPPER('Employee Data Form'!#REF!)</f>
        <v>#REF!</v>
      </c>
    </row>
    <row r="231" spans="1:2">
      <c r="A231" s="99" t="s">
        <v>573</v>
      </c>
      <c r="B231" s="99" t="e">
        <f>UPPER('Employee Data Form'!#REF!)</f>
        <v>#REF!</v>
      </c>
    </row>
    <row r="232" spans="1:2">
      <c r="A232" s="99" t="s">
        <v>574</v>
      </c>
      <c r="B232" s="99" t="e">
        <f>UPPER('Employee Data Form'!#REF!)</f>
        <v>#REF!</v>
      </c>
    </row>
    <row r="233" spans="1:2">
      <c r="A233" s="99" t="s">
        <v>575</v>
      </c>
      <c r="B233" s="99" t="e">
        <f>UPPER('Employee Data Form'!#REF!)</f>
        <v>#REF!</v>
      </c>
    </row>
    <row r="234" spans="1:2">
      <c r="A234" s="99" t="s">
        <v>576</v>
      </c>
      <c r="B234" s="99" t="e">
        <f>UPPER('Employee Data Form'!#REF!)</f>
        <v>#REF!</v>
      </c>
    </row>
    <row r="235" spans="1:2">
      <c r="A235" s="99" t="s">
        <v>577</v>
      </c>
      <c r="B235" s="99" t="e">
        <f>UPPER('Employee Data Form'!#REF!)</f>
        <v>#REF!</v>
      </c>
    </row>
    <row r="236" spans="1:2">
      <c r="A236" s="99" t="s">
        <v>578</v>
      </c>
      <c r="B236" s="99" t="e">
        <f>UPPER('Employee Data Form'!#REF!)</f>
        <v>#REF!</v>
      </c>
    </row>
    <row r="237" spans="1:2">
      <c r="A237" s="99" t="s">
        <v>579</v>
      </c>
      <c r="B237" s="99" t="str">
        <f>UPPER('Employee Data Form'!E134)</f>
        <v/>
      </c>
    </row>
    <row r="238" spans="1:2">
      <c r="A238" s="99" t="s">
        <v>580</v>
      </c>
      <c r="B238" s="99" t="str">
        <f>UPPER('Employee Data Form'!M134)</f>
        <v/>
      </c>
    </row>
    <row r="239" spans="1:2">
      <c r="A239" s="99" t="s">
        <v>581</v>
      </c>
      <c r="B239" s="99" t="str">
        <f>UPPER('Employee Data Form'!W134)</f>
        <v/>
      </c>
    </row>
    <row r="240" spans="1:2">
      <c r="A240" s="99" t="s">
        <v>582</v>
      </c>
      <c r="B240" s="99" t="str">
        <f>UPPER('Employee Data Form'!AC134)</f>
        <v/>
      </c>
    </row>
    <row r="241" spans="1:2">
      <c r="A241" s="99" t="s">
        <v>583</v>
      </c>
      <c r="B241" s="99" t="str">
        <f>UPPER('Employee Data Form'!E135)</f>
        <v/>
      </c>
    </row>
    <row r="242" spans="1:2">
      <c r="A242" s="99" t="s">
        <v>584</v>
      </c>
      <c r="B242" s="99" t="str">
        <f>UPPER('Employee Data Form'!M135)</f>
        <v/>
      </c>
    </row>
    <row r="243" spans="1:2">
      <c r="A243" s="99" t="s">
        <v>585</v>
      </c>
      <c r="B243" s="99" t="str">
        <f>UPPER('Employee Data Form'!W135)</f>
        <v/>
      </c>
    </row>
    <row r="244" spans="1:2">
      <c r="A244" s="99" t="s">
        <v>586</v>
      </c>
      <c r="B244" s="99" t="str">
        <f>UPPER('Employee Data Form'!AC135)</f>
        <v/>
      </c>
    </row>
    <row r="245" spans="1:2">
      <c r="A245" s="99" t="s">
        <v>587</v>
      </c>
      <c r="B245" s="99" t="str">
        <f>UPPER('Employee Data Form'!E136)</f>
        <v/>
      </c>
    </row>
    <row r="246" spans="1:2">
      <c r="A246" s="99" t="s">
        <v>588</v>
      </c>
      <c r="B246" s="99" t="str">
        <f>UPPER('Employee Data Form'!M136)</f>
        <v/>
      </c>
    </row>
    <row r="247" spans="1:2">
      <c r="A247" s="99" t="s">
        <v>589</v>
      </c>
      <c r="B247" s="99" t="str">
        <f>UPPER('Employee Data Form'!W136)</f>
        <v/>
      </c>
    </row>
    <row r="248" spans="1:2">
      <c r="A248" s="99" t="s">
        <v>590</v>
      </c>
      <c r="B248" s="99" t="str">
        <f>UPPER('Employee Data Form'!AC136)</f>
        <v/>
      </c>
    </row>
    <row r="249" spans="1:2">
      <c r="A249" s="100" t="s">
        <v>790</v>
      </c>
      <c r="B249" s="100" t="str">
        <f ca="1">CONCATENATE('Employee Data Form'!E218,"-",'Employee Data Form'!H218,"-",'Employee Data Form'!K218)</f>
        <v>-30-NOV-2022-</v>
      </c>
    </row>
    <row r="250" spans="1:2">
      <c r="A250" s="100" t="s">
        <v>791</v>
      </c>
      <c r="B250" s="100" t="str">
        <f>UPPER('Employee Data Form'!AA218)</f>
        <v/>
      </c>
    </row>
    <row r="251" spans="1:2">
      <c r="A251" s="1" t="s">
        <v>0</v>
      </c>
      <c r="B251" s="99"/>
    </row>
    <row r="252" spans="1:2">
      <c r="A252" s="99" t="s">
        <v>591</v>
      </c>
      <c r="B252" s="99" t="e">
        <f>CONCATENATE(IF(#REF!="","",UPPER(#REF!)),"-",IF(#REF!="","",UPPER(#REF!)),"-",IF(#REF!="","",UPPER(#REF!)))</f>
        <v>#REF!</v>
      </c>
    </row>
    <row r="253" spans="1:2">
      <c r="A253" s="99" t="s">
        <v>592</v>
      </c>
      <c r="B253" s="99" t="e">
        <f>IF(#REF!="","",UPPER(#REF!))</f>
        <v>#REF!</v>
      </c>
    </row>
    <row r="254" spans="1:2">
      <c r="A254" s="99" t="s">
        <v>593</v>
      </c>
      <c r="B254" s="99" t="e">
        <f>IF(#REF!="","",UPPER(#REF!))</f>
        <v>#REF!</v>
      </c>
    </row>
    <row r="255" spans="1:2">
      <c r="A255" s="99" t="s">
        <v>594</v>
      </c>
      <c r="B255" s="99" t="e">
        <f>IF(#REF!="","",UPPER(#REF!))</f>
        <v>#REF!</v>
      </c>
    </row>
    <row r="256" spans="1:2">
      <c r="A256" s="99" t="s">
        <v>595</v>
      </c>
      <c r="B256" s="99" t="e">
        <f>IF(#REF!="","",UPPER(#REF!))</f>
        <v>#REF!</v>
      </c>
    </row>
    <row r="257" spans="1:2">
      <c r="A257" s="1" t="s">
        <v>596</v>
      </c>
      <c r="B257" s="99"/>
    </row>
    <row r="258" spans="1:2">
      <c r="A258" s="1" t="s">
        <v>347</v>
      </c>
      <c r="B258" s="99"/>
    </row>
    <row r="259" spans="1:2">
      <c r="A259" s="99" t="s">
        <v>597</v>
      </c>
      <c r="B259" s="99" t="str">
        <f>IF('Provident Fund'!C28="","",UPPER('Provident Fund'!C28))</f>
        <v/>
      </c>
    </row>
    <row r="260" spans="1:2">
      <c r="A260" s="99" t="s">
        <v>598</v>
      </c>
      <c r="B260" s="99" t="str">
        <f>IF('Provident Fund'!I28="","",UPPER('Provident Fund'!I28))</f>
        <v/>
      </c>
    </row>
    <row r="261" spans="1:2">
      <c r="A261" s="99" t="s">
        <v>599</v>
      </c>
      <c r="B261" s="99" t="str">
        <f>IF('Provident Fund'!O28="","",UPPER('Provident Fund'!O28))</f>
        <v/>
      </c>
    </row>
    <row r="262" spans="1:2">
      <c r="A262" s="99" t="s">
        <v>600</v>
      </c>
      <c r="B262" s="99" t="str">
        <f>CONCATENATE(IF('Provident Fund'!S28="","",UPPER('Provident Fund'!S28)),"-",IF('Provident Fund'!U28="","",UPPER('Provident Fund'!U28)),"-",IF('Provident Fund'!W28="","",UPPER('Provident Fund'!W28)))</f>
        <v>--</v>
      </c>
    </row>
    <row r="263" spans="1:2">
      <c r="A263" s="99" t="s">
        <v>601</v>
      </c>
      <c r="B263" s="99" t="str">
        <f>IF('Provident Fund'!Y28="","",UPPER('Provident Fund'!Y28))</f>
        <v/>
      </c>
    </row>
    <row r="264" spans="1:2">
      <c r="A264" s="99" t="s">
        <v>602</v>
      </c>
      <c r="B264" s="99" t="str">
        <f>IF('Provident Fund'!AC28="","",UPPER('Provident Fund'!AC28))</f>
        <v/>
      </c>
    </row>
    <row r="265" spans="1:2">
      <c r="A265" s="99" t="s">
        <v>603</v>
      </c>
      <c r="B265" s="99" t="str">
        <f>IF('Provident Fund'!C29="","",UPPER('Provident Fund'!C29))</f>
        <v/>
      </c>
    </row>
    <row r="266" spans="1:2">
      <c r="A266" s="99" t="s">
        <v>604</v>
      </c>
      <c r="B266" s="99" t="str">
        <f>IF('Provident Fund'!I29="","",UPPER('Provident Fund'!I29))</f>
        <v/>
      </c>
    </row>
    <row r="267" spans="1:2">
      <c r="A267" s="99" t="s">
        <v>605</v>
      </c>
      <c r="B267" s="99" t="str">
        <f>IF('Provident Fund'!O29="","",UPPER('Provident Fund'!O29))</f>
        <v/>
      </c>
    </row>
    <row r="268" spans="1:2">
      <c r="A268" s="99" t="s">
        <v>606</v>
      </c>
      <c r="B268" s="99" t="str">
        <f>CONCATENATE(IF('Provident Fund'!S29="","",UPPER('Provident Fund'!S29)),"-",IF('Provident Fund'!U29="","",UPPER('Provident Fund'!U29)),"-",IF('Provident Fund'!W29="","",UPPER('Provident Fund'!W29)))</f>
        <v>--</v>
      </c>
    </row>
    <row r="269" spans="1:2">
      <c r="A269" s="99" t="s">
        <v>607</v>
      </c>
      <c r="B269" s="99" t="str">
        <f>IF('Provident Fund'!Y29="","",UPPER('Provident Fund'!Y29))</f>
        <v/>
      </c>
    </row>
    <row r="270" spans="1:2">
      <c r="A270" s="99" t="s">
        <v>608</v>
      </c>
      <c r="B270" s="99" t="str">
        <f>IF('Provident Fund'!AC29="","",UPPER('Provident Fund'!AC29))</f>
        <v/>
      </c>
    </row>
    <row r="271" spans="1:2">
      <c r="A271" s="99" t="s">
        <v>609</v>
      </c>
      <c r="B271" s="99" t="str">
        <f>IF('Provident Fund'!C30="","",UPPER('Provident Fund'!C30))</f>
        <v/>
      </c>
    </row>
    <row r="272" spans="1:2">
      <c r="A272" s="99" t="s">
        <v>610</v>
      </c>
      <c r="B272" s="99" t="str">
        <f>IF('Provident Fund'!I30="","",UPPER('Provident Fund'!I30))</f>
        <v/>
      </c>
    </row>
    <row r="273" spans="1:2">
      <c r="A273" s="99" t="s">
        <v>611</v>
      </c>
      <c r="B273" s="99" t="str">
        <f>IF('Provident Fund'!O30="","",UPPER('Provident Fund'!O30))</f>
        <v/>
      </c>
    </row>
    <row r="274" spans="1:2">
      <c r="A274" s="99" t="s">
        <v>612</v>
      </c>
      <c r="B274" s="99" t="str">
        <f>CONCATENATE(IF('Provident Fund'!S30="","",UPPER('Provident Fund'!S30)),"-",IF('Provident Fund'!U30="","",UPPER('Provident Fund'!U30)),"-",IF('Provident Fund'!W30="","",UPPER('Provident Fund'!W30)))</f>
        <v>--</v>
      </c>
    </row>
    <row r="275" spans="1:2">
      <c r="A275" s="99" t="s">
        <v>613</v>
      </c>
      <c r="B275" s="99" t="str">
        <f>IF('Provident Fund'!Y30="","",UPPER('Provident Fund'!Y30))</f>
        <v/>
      </c>
    </row>
    <row r="276" spans="1:2">
      <c r="A276" s="99" t="s">
        <v>614</v>
      </c>
      <c r="B276" s="99" t="str">
        <f>IF('Provident Fund'!AC30="","",UPPER('Provident Fund'!AC30))</f>
        <v/>
      </c>
    </row>
    <row r="277" spans="1:2">
      <c r="A277" s="99" t="s">
        <v>615</v>
      </c>
      <c r="B277" s="99" t="str">
        <f>IF('Provident Fund'!C31="","",UPPER('Provident Fund'!C31))</f>
        <v/>
      </c>
    </row>
    <row r="278" spans="1:2">
      <c r="A278" s="99" t="s">
        <v>616</v>
      </c>
      <c r="B278" s="99" t="str">
        <f>IF('Provident Fund'!I31="","",UPPER('Provident Fund'!I31))</f>
        <v/>
      </c>
    </row>
    <row r="279" spans="1:2">
      <c r="A279" s="99" t="s">
        <v>617</v>
      </c>
      <c r="B279" s="99" t="str">
        <f>IF('Provident Fund'!O31="","",UPPER('Provident Fund'!O31))</f>
        <v/>
      </c>
    </row>
    <row r="280" spans="1:2">
      <c r="A280" s="99" t="s">
        <v>618</v>
      </c>
      <c r="B280" s="99" t="str">
        <f>CONCATENATE(IF('Provident Fund'!S31="","",UPPER('Provident Fund'!S31)),"-",IF('Provident Fund'!U31="","",UPPER('Provident Fund'!U31)),"-",IF('Provident Fund'!W31="","",UPPER('Provident Fund'!W31)))</f>
        <v>--</v>
      </c>
    </row>
    <row r="281" spans="1:2">
      <c r="A281" s="99" t="s">
        <v>619</v>
      </c>
      <c r="B281" s="99" t="str">
        <f>IF('Provident Fund'!Y31="","",UPPER('Provident Fund'!Y31))</f>
        <v/>
      </c>
    </row>
    <row r="282" spans="1:2">
      <c r="A282" s="99" t="s">
        <v>620</v>
      </c>
      <c r="B282" s="99" t="str">
        <f>IF('Provident Fund'!AC31="","",UPPER('Provident Fund'!AC31))</f>
        <v/>
      </c>
    </row>
    <row r="283" spans="1:2">
      <c r="A283" s="1" t="s">
        <v>375</v>
      </c>
      <c r="B283" s="99"/>
    </row>
    <row r="284" spans="1:2">
      <c r="A284" s="99" t="s">
        <v>621</v>
      </c>
      <c r="B284" s="99" t="str">
        <f>IF('Provident Fund'!F52="","",UPPER('Provident Fund'!F52))</f>
        <v/>
      </c>
    </row>
    <row r="285" spans="1:2">
      <c r="A285" s="99" t="s">
        <v>622</v>
      </c>
      <c r="B285" s="99" t="str">
        <f>IF('Provident Fund'!L52="","",UPPER('Provident Fund'!L52))</f>
        <v/>
      </c>
    </row>
    <row r="286" spans="1:2">
      <c r="A286" s="99" t="s">
        <v>623</v>
      </c>
      <c r="B286" s="99" t="str">
        <f>CONCATENATE(IF('Provident Fund'!V52="","",UPPER('Provident Fund'!V52)),"-",IF('Provident Fund'!X52="","",UPPER('Provident Fund'!X52)),"-",IF('Provident Fund'!Z52="","",UPPER('Provident Fund'!Z52)))</f>
        <v>--</v>
      </c>
    </row>
    <row r="287" spans="1:2">
      <c r="A287" s="99" t="s">
        <v>624</v>
      </c>
      <c r="B287" s="99" t="str">
        <f>IF('Provident Fund'!AB52="","",UPPER('Provident Fund'!AB52))</f>
        <v/>
      </c>
    </row>
    <row r="288" spans="1:2">
      <c r="A288" s="99" t="s">
        <v>625</v>
      </c>
      <c r="B288" s="99" t="str">
        <f>IF('Provident Fund'!F53="","",UPPER('Provident Fund'!F53))</f>
        <v/>
      </c>
    </row>
    <row r="289" spans="1:2">
      <c r="A289" s="99" t="s">
        <v>626</v>
      </c>
      <c r="B289" s="99" t="str">
        <f>IF('Provident Fund'!L53="","",UPPER('Provident Fund'!L53))</f>
        <v/>
      </c>
    </row>
    <row r="290" spans="1:2">
      <c r="A290" s="99" t="s">
        <v>627</v>
      </c>
      <c r="B290" s="99" t="str">
        <f>CONCATENATE(IF('Provident Fund'!V53="","",UPPER('Provident Fund'!V53)),"-",IF('Provident Fund'!X53="","",UPPER('Provident Fund'!X53)),"-",IF('Provident Fund'!Z53="","",UPPER('Provident Fund'!Z53)))</f>
        <v>--</v>
      </c>
    </row>
    <row r="291" spans="1:2">
      <c r="A291" s="99" t="s">
        <v>628</v>
      </c>
      <c r="B291" s="99" t="str">
        <f>IF('Provident Fund'!AB53="","",UPPER('Provident Fund'!AB53))</f>
        <v/>
      </c>
    </row>
    <row r="292" spans="1:2">
      <c r="A292" s="99" t="s">
        <v>629</v>
      </c>
      <c r="B292" s="99" t="str">
        <f>IF('Provident Fund'!F54="","",UPPER('Provident Fund'!F54))</f>
        <v/>
      </c>
    </row>
    <row r="293" spans="1:2">
      <c r="A293" s="99" t="s">
        <v>630</v>
      </c>
      <c r="B293" s="99" t="str">
        <f>IF('Provident Fund'!L54="","",UPPER('Provident Fund'!L54))</f>
        <v/>
      </c>
    </row>
    <row r="294" spans="1:2">
      <c r="A294" s="99" t="s">
        <v>631</v>
      </c>
      <c r="B294" s="99" t="str">
        <f>CONCATENATE(IF('Provident Fund'!V54="","",UPPER('Provident Fund'!V54)),"-",IF('Provident Fund'!X54="","",UPPER('Provident Fund'!X54)),"-",IF('Provident Fund'!Z54="","",UPPER('Provident Fund'!Z54)))</f>
        <v>--</v>
      </c>
    </row>
    <row r="295" spans="1:2">
      <c r="A295" s="99" t="s">
        <v>632</v>
      </c>
      <c r="B295" s="99" t="str">
        <f>IF('Provident Fund'!AB54="","",UPPER('Provident Fund'!AB54))</f>
        <v/>
      </c>
    </row>
    <row r="296" spans="1:2">
      <c r="A296" s="99" t="s">
        <v>633</v>
      </c>
      <c r="B296" s="99" t="str">
        <f>IF('Provident Fund'!F55="","",UPPER('Provident Fund'!F55))</f>
        <v/>
      </c>
    </row>
    <row r="297" spans="1:2">
      <c r="A297" s="99" t="s">
        <v>634</v>
      </c>
      <c r="B297" s="99" t="str">
        <f>IF('Provident Fund'!L55="","",UPPER('Provident Fund'!L55))</f>
        <v/>
      </c>
    </row>
    <row r="298" spans="1:2">
      <c r="A298" s="99" t="s">
        <v>635</v>
      </c>
      <c r="B298" s="99" t="str">
        <f>CONCATENATE(IF('Provident Fund'!V55="","",UPPER('Provident Fund'!V55)),"-",IF('Provident Fund'!X55="","",UPPER('Provident Fund'!X55)),"-",IF('Provident Fund'!Z55="","",UPPER('Provident Fund'!Z55)))</f>
        <v>--</v>
      </c>
    </row>
    <row r="299" spans="1:2">
      <c r="A299" s="99" t="s">
        <v>636</v>
      </c>
      <c r="B299" s="99" t="str">
        <f>IF('Provident Fund'!AB55="","",UPPER('Provident Fund'!AB55))</f>
        <v/>
      </c>
    </row>
    <row r="300" spans="1:2">
      <c r="A300" s="99" t="s">
        <v>637</v>
      </c>
      <c r="B300" s="99" t="str">
        <f>IF('Provident Fund'!C63="","",UPPER('Provident Fund'!C63))</f>
        <v/>
      </c>
    </row>
    <row r="301" spans="1:2">
      <c r="A301" s="99" t="s">
        <v>638</v>
      </c>
      <c r="B301" s="99" t="str">
        <f>CONCATENATE(IF('Provident Fund'!U63="","",UPPER('Provident Fund'!U63)),"-",IF('Provident Fund'!W63="","",UPPER('Provident Fund'!W63)),"-",IF('Provident Fund'!Y63="","",UPPER('Provident Fund'!Y63)))</f>
        <v>--</v>
      </c>
    </row>
    <row r="302" spans="1:2">
      <c r="A302" s="99" t="s">
        <v>639</v>
      </c>
      <c r="B302" s="99" t="str">
        <f>IF('Provident Fund'!AA63="","",UPPER('Provident Fund'!AA63))</f>
        <v/>
      </c>
    </row>
    <row r="303" spans="1:2">
      <c r="A303" s="99" t="s">
        <v>640</v>
      </c>
      <c r="B303" s="99" t="str">
        <f>IF('Provident Fund'!C64="","",UPPER('Provident Fund'!C64))</f>
        <v/>
      </c>
    </row>
    <row r="304" spans="1:2">
      <c r="A304" s="99" t="s">
        <v>641</v>
      </c>
      <c r="B304" s="99" t="str">
        <f>CONCATENATE(IF('Provident Fund'!U64="","",UPPER('Provident Fund'!U64)),"-",IF('Provident Fund'!W64="","",UPPER('Provident Fund'!W64)),"-",IF('Provident Fund'!Y64="","",UPPER('Provident Fund'!Y64)))</f>
        <v>--</v>
      </c>
    </row>
    <row r="305" spans="1:2">
      <c r="A305" s="99" t="s">
        <v>642</v>
      </c>
      <c r="B305" s="99" t="str">
        <f>IF('Provident Fund'!AA64="","",UPPER('Provident Fund'!AA64))</f>
        <v/>
      </c>
    </row>
    <row r="306" spans="1:2">
      <c r="A306" s="99" t="s">
        <v>643</v>
      </c>
      <c r="B306" s="99" t="str">
        <f>IF('Provident Fund'!C65="","",UPPER('Provident Fund'!C65))</f>
        <v/>
      </c>
    </row>
    <row r="307" spans="1:2">
      <c r="A307" s="99" t="s">
        <v>644</v>
      </c>
      <c r="B307" s="99" t="str">
        <f>CONCATENATE(IF('Provident Fund'!U65="","",UPPER('Provident Fund'!U65)),"-",IF('Provident Fund'!W65="","",UPPER('Provident Fund'!W65)),"-",IF('Provident Fund'!Y65="","",UPPER('Provident Fund'!Y65)))</f>
        <v>--</v>
      </c>
    </row>
    <row r="308" spans="1:2">
      <c r="A308" s="99" t="s">
        <v>645</v>
      </c>
      <c r="B308" s="99" t="str">
        <f>IF('Provident Fund'!AA65="","",UPPER('Provident Fund'!AA65))</f>
        <v/>
      </c>
    </row>
    <row r="309" spans="1:2">
      <c r="A309" s="99" t="s">
        <v>646</v>
      </c>
      <c r="B309" s="99" t="str">
        <f>IF('Provident Fund'!E79="","",UPPER('Provident Fund'!E79))</f>
        <v/>
      </c>
    </row>
    <row r="310" spans="1:2">
      <c r="A310" s="1" t="s">
        <v>647</v>
      </c>
      <c r="B310" s="99"/>
    </row>
    <row r="311" spans="1:2">
      <c r="A311" s="1" t="s">
        <v>347</v>
      </c>
      <c r="B311" s="99"/>
    </row>
    <row r="312" spans="1:2">
      <c r="A312" s="99" t="s">
        <v>648</v>
      </c>
      <c r="B312" s="99" t="str">
        <f>IF(Gratuity!T27="","",UPPER(Gratuity!T27))</f>
        <v/>
      </c>
    </row>
    <row r="313" spans="1:2">
      <c r="A313" s="99" t="s">
        <v>649</v>
      </c>
      <c r="B313" s="99" t="str">
        <f>IF(Gratuity!E34="","",UPPER(Gratuity!E34))</f>
        <v/>
      </c>
    </row>
    <row r="314" spans="1:2">
      <c r="A314" s="100" t="s">
        <v>792</v>
      </c>
      <c r="B314" s="100" t="str">
        <f>IF(Gratuity!E35="","",UPPER(Gratuity!E35))</f>
        <v/>
      </c>
    </row>
    <row r="315" spans="1:2">
      <c r="A315" s="99" t="s">
        <v>650</v>
      </c>
      <c r="B315" s="99" t="str">
        <f>IF(Gratuity!P34="","",UPPER(Gratuity!P34))</f>
        <v/>
      </c>
    </row>
    <row r="316" spans="1:2">
      <c r="A316" s="99" t="s">
        <v>651</v>
      </c>
      <c r="B316" s="99" t="str">
        <f>IF(Gratuity!X34="","",UPPER(Gratuity!X34))</f>
        <v/>
      </c>
    </row>
    <row r="317" spans="1:2">
      <c r="A317" s="99" t="s">
        <v>652</v>
      </c>
      <c r="B317" s="99" t="str">
        <f>IF(Gratuity!AC34="","",UPPER(Gratuity!AC34))</f>
        <v/>
      </c>
    </row>
    <row r="318" spans="1:2">
      <c r="A318" s="99" t="s">
        <v>653</v>
      </c>
      <c r="B318" s="99" t="str">
        <f>IF(Gratuity!E36="","",UPPER(Gratuity!E36))</f>
        <v/>
      </c>
    </row>
    <row r="319" spans="1:2">
      <c r="A319" s="100" t="s">
        <v>793</v>
      </c>
      <c r="B319" s="100" t="str">
        <f>IF(Gratuity!E37="","",UPPER(Gratuity!E37))</f>
        <v/>
      </c>
    </row>
    <row r="320" spans="1:2">
      <c r="A320" s="99" t="s">
        <v>654</v>
      </c>
      <c r="B320" s="99" t="str">
        <f>IF(Gratuity!P36="","",UPPER(Gratuity!P36))</f>
        <v/>
      </c>
    </row>
    <row r="321" spans="1:2">
      <c r="A321" s="99" t="s">
        <v>655</v>
      </c>
      <c r="B321" s="99" t="str">
        <f>IF(Gratuity!X36="","",UPPER(Gratuity!X36))</f>
        <v/>
      </c>
    </row>
    <row r="322" spans="1:2">
      <c r="A322" s="99" t="s">
        <v>656</v>
      </c>
      <c r="B322" s="99" t="str">
        <f>IF(Gratuity!AC36="","",UPPER(Gratuity!AC36))</f>
        <v/>
      </c>
    </row>
    <row r="323" spans="1:2">
      <c r="A323" s="99" t="s">
        <v>657</v>
      </c>
      <c r="B323" s="99" t="str">
        <f>IF(Gratuity!E38="","",UPPER(Gratuity!E38))</f>
        <v/>
      </c>
    </row>
    <row r="324" spans="1:2">
      <c r="A324" s="100" t="s">
        <v>794</v>
      </c>
      <c r="B324" s="100" t="str">
        <f>IF(Gratuity!E39="","",UPPER(Gratuity!E39))</f>
        <v/>
      </c>
    </row>
    <row r="325" spans="1:2">
      <c r="A325" s="99" t="s">
        <v>658</v>
      </c>
      <c r="B325" s="99" t="str">
        <f>IF(Gratuity!P38="","",UPPER(Gratuity!P38))</f>
        <v/>
      </c>
    </row>
    <row r="326" spans="1:2">
      <c r="A326" s="99" t="s">
        <v>659</v>
      </c>
      <c r="B326" s="99" t="str">
        <f>IF(Gratuity!X38="","",UPPER(Gratuity!X38))</f>
        <v/>
      </c>
    </row>
    <row r="327" spans="1:2">
      <c r="A327" s="99" t="s">
        <v>660</v>
      </c>
      <c r="B327" s="99" t="str">
        <f>IF(Gratuity!AC38="","",UPPER(Gratuity!AC38))</f>
        <v/>
      </c>
    </row>
    <row r="328" spans="1:2">
      <c r="A328" s="99" t="s">
        <v>661</v>
      </c>
      <c r="B328" s="99" t="str">
        <f>IF(Gratuity!E40="","",UPPER(Gratuity!E40))</f>
        <v/>
      </c>
    </row>
    <row r="329" spans="1:2">
      <c r="A329" s="100" t="s">
        <v>795</v>
      </c>
      <c r="B329" s="100" t="str">
        <f>IF(Gratuity!E41="","",UPPER(Gratuity!E41))</f>
        <v/>
      </c>
    </row>
    <row r="330" spans="1:2">
      <c r="A330" s="99" t="s">
        <v>662</v>
      </c>
      <c r="B330" s="99" t="str">
        <f>IF(Gratuity!P40="","",UPPER(Gratuity!P40))</f>
        <v/>
      </c>
    </row>
    <row r="331" spans="1:2">
      <c r="A331" s="99" t="s">
        <v>663</v>
      </c>
      <c r="B331" s="99" t="str">
        <f>IF(Gratuity!X40="","",UPPER(Gratuity!X40))</f>
        <v/>
      </c>
    </row>
    <row r="332" spans="1:2">
      <c r="A332" s="99" t="s">
        <v>664</v>
      </c>
      <c r="B332" s="99" t="str">
        <f>IF(Gratuity!AC40="","",UPPER(Gratuity!AC40))</f>
        <v/>
      </c>
    </row>
    <row r="333" spans="1:2">
      <c r="A333" s="99" t="s">
        <v>665</v>
      </c>
      <c r="B333" s="99" t="str">
        <f>IF(Gratuity!E42="","",UPPER(Gratuity!E42))</f>
        <v/>
      </c>
    </row>
    <row r="334" spans="1:2">
      <c r="A334" s="100" t="s">
        <v>796</v>
      </c>
      <c r="B334" s="100" t="str">
        <f>IF(Gratuity!E43="","",UPPER(Gratuity!E43))</f>
        <v/>
      </c>
    </row>
    <row r="335" spans="1:2">
      <c r="A335" s="99" t="s">
        <v>666</v>
      </c>
      <c r="B335" s="99" t="str">
        <f>IF(Gratuity!P42="","",UPPER(Gratuity!P42))</f>
        <v/>
      </c>
    </row>
    <row r="336" spans="1:2">
      <c r="A336" s="99" t="s">
        <v>667</v>
      </c>
      <c r="B336" s="99" t="str">
        <f>IF(Gratuity!X42="","",UPPER(Gratuity!X42))</f>
        <v/>
      </c>
    </row>
    <row r="337" spans="1:2">
      <c r="A337" s="99" t="s">
        <v>668</v>
      </c>
      <c r="B337" s="99" t="str">
        <f>IF(Gratuity!AC42="","",UPPER(Gratuity!AC42))</f>
        <v/>
      </c>
    </row>
    <row r="338" spans="1:2">
      <c r="A338" s="1" t="s">
        <v>375</v>
      </c>
      <c r="B338" s="99"/>
    </row>
    <row r="339" spans="1:2">
      <c r="A339" s="99" t="s">
        <v>669</v>
      </c>
      <c r="B339" s="99" t="str">
        <f>IF(Gratuity!F59="","",UPPER(Gratuity!F59))</f>
        <v/>
      </c>
    </row>
    <row r="340" spans="1:2">
      <c r="A340" s="99" t="s">
        <v>670</v>
      </c>
      <c r="B340" s="99" t="str">
        <f>IF(Gratuity!R59="","",UPPER(Gratuity!R59))</f>
        <v/>
      </c>
    </row>
    <row r="341" spans="1:2">
      <c r="A341" s="99" t="s">
        <v>671</v>
      </c>
      <c r="B341" s="99" t="str">
        <f>IF(Gratuity!AD59="","",UPPER(Gratuity!AD59))</f>
        <v/>
      </c>
    </row>
    <row r="342" spans="1:2">
      <c r="A342" s="99" t="s">
        <v>672</v>
      </c>
      <c r="B342" s="99" t="str">
        <f>IF(Gratuity!G60="","",UPPER(Gratuity!G60))</f>
        <v/>
      </c>
    </row>
    <row r="343" spans="1:2">
      <c r="A343" s="99" t="s">
        <v>673</v>
      </c>
      <c r="B343" s="99" t="str">
        <f>IF(Gratuity!R60="","",UPPER(Gratuity!R60))</f>
        <v/>
      </c>
    </row>
    <row r="344" spans="1:2">
      <c r="A344" s="99" t="s">
        <v>674</v>
      </c>
      <c r="B344" s="99" t="str">
        <f>IF(Gratuity!E74="","",UPPER(Gratuity!E74))</f>
        <v/>
      </c>
    </row>
    <row r="345" spans="1:2">
      <c r="A345" s="99" t="s">
        <v>675</v>
      </c>
      <c r="B345" s="99" t="str">
        <f>IF(Gratuity!E75="","",UPPER(Gratuity!E75))</f>
        <v/>
      </c>
    </row>
    <row r="346" spans="1:2">
      <c r="A346" s="1" t="s">
        <v>676</v>
      </c>
      <c r="B346" s="99"/>
    </row>
    <row r="347" spans="1:2">
      <c r="A347" s="99" t="s">
        <v>677</v>
      </c>
      <c r="B347" s="99" t="e">
        <f>IF(#REF!="","",UPPER(#REF!))</f>
        <v>#REF!</v>
      </c>
    </row>
    <row r="348" spans="1:2">
      <c r="A348" s="99" t="s">
        <v>678</v>
      </c>
      <c r="B348" s="99" t="e">
        <f>CONCATENATE(IF(#REF!="","",UPPER(#REF!)),"-",IF(#REF!="","",UPPER(#REF!)),"-",IF(#REF!="","",UPPER(#REF!)))</f>
        <v>#REF!</v>
      </c>
    </row>
    <row r="349" spans="1:2">
      <c r="A349" s="99" t="s">
        <v>679</v>
      </c>
      <c r="B349" s="99" t="e">
        <f>IF(#REF!="","",UPPER(#REF!))</f>
        <v>#REF!</v>
      </c>
    </row>
    <row r="350" spans="1:2">
      <c r="A350" s="99" t="s">
        <v>680</v>
      </c>
      <c r="B350" s="99" t="e">
        <f>IF(#REF!="","",UPPER(#REF!))</f>
        <v>#REF!</v>
      </c>
    </row>
    <row r="351" spans="1:2">
      <c r="A351" s="99" t="s">
        <v>681</v>
      </c>
      <c r="B351" s="99" t="e">
        <f>CONCATENATE(IF(#REF!="","",UPPER(#REF!)),"-",IF(#REF!="","",UPPER(#REF!)),"-",IF(#REF!="","",UPPER(#REF!)))</f>
        <v>#REF!</v>
      </c>
    </row>
    <row r="352" spans="1:2">
      <c r="A352" s="99" t="s">
        <v>682</v>
      </c>
      <c r="B352" s="99" t="e">
        <f>IF(#REF!="","",UPPER(#REF!))</f>
        <v>#REF!</v>
      </c>
    </row>
    <row r="353" spans="1:2">
      <c r="A353" s="99" t="s">
        <v>683</v>
      </c>
      <c r="B353" s="99" t="e">
        <f>IF(#REF!="","",UPPER(#REF!))</f>
        <v>#REF!</v>
      </c>
    </row>
    <row r="354" spans="1:2">
      <c r="A354" s="99" t="s">
        <v>684</v>
      </c>
      <c r="B354" s="99" t="e">
        <f>CONCATENATE(IF(#REF!="","",UPPER(#REF!)),"-",IF(#REF!="","",UPPER(#REF!)),"-",IF(#REF!="","",UPPER(#REF!)))</f>
        <v>#REF!</v>
      </c>
    </row>
    <row r="355" spans="1:2">
      <c r="A355" s="99" t="s">
        <v>685</v>
      </c>
      <c r="B355" s="99" t="e">
        <f>IF(#REF!="","",UPPER(#REF!))</f>
        <v>#REF!</v>
      </c>
    </row>
    <row r="356" spans="1:2">
      <c r="A356" s="99" t="s">
        <v>686</v>
      </c>
      <c r="B356" s="99" t="e">
        <f>IF(#REF!="","",UPPER(#REF!))</f>
        <v>#REF!</v>
      </c>
    </row>
    <row r="357" spans="1:2">
      <c r="A357" s="99" t="s">
        <v>687</v>
      </c>
      <c r="B357" s="99" t="e">
        <f>CONCATENATE(IF(#REF!="","",UPPER(#REF!)),"-",IF(#REF!="","",UPPER(#REF!)),"-",IF(#REF!="","",UPPER(#REF!)))</f>
        <v>#REF!</v>
      </c>
    </row>
    <row r="358" spans="1:2">
      <c r="A358" s="99" t="s">
        <v>688</v>
      </c>
      <c r="B358" s="99" t="e">
        <f>IF(#REF!="","",UPPER(#REF!))</f>
        <v>#REF!</v>
      </c>
    </row>
    <row r="359" spans="1:2">
      <c r="A359" s="99" t="s">
        <v>689</v>
      </c>
      <c r="B359" s="99" t="e">
        <f>IF(#REF!="","",UPPER(#REF!))</f>
        <v>#REF!</v>
      </c>
    </row>
    <row r="360" spans="1:2">
      <c r="A360" s="99" t="s">
        <v>690</v>
      </c>
      <c r="B360" s="99" t="e">
        <f>CONCATENATE(IF(#REF!="","",UPPER(#REF!)),"-",IF(#REF!="","",UPPER(#REF!)),"-",IF(#REF!="","",UPPER(#REF!)))</f>
        <v>#REF!</v>
      </c>
    </row>
    <row r="361" spans="1:2">
      <c r="A361" s="99" t="s">
        <v>691</v>
      </c>
      <c r="B361" s="99" t="e">
        <f>IF(#REF!="","",UPPER(#REF!))</f>
        <v>#REF!</v>
      </c>
    </row>
    <row r="362" spans="1:2">
      <c r="A362" s="1" t="s">
        <v>692</v>
      </c>
      <c r="B362" s="99"/>
    </row>
    <row r="363" spans="1:2">
      <c r="A363" s="99" t="s">
        <v>693</v>
      </c>
      <c r="B363" s="99" t="e">
        <f>IF(#REF!="","",UPPER(#REF!))</f>
        <v>#REF!</v>
      </c>
    </row>
    <row r="364" spans="1:2">
      <c r="A364" s="99" t="s">
        <v>694</v>
      </c>
      <c r="B364" s="99" t="e">
        <f>IF(#REF!="","",UPPER(#REF!))</f>
        <v>#REF!</v>
      </c>
    </row>
    <row r="365" spans="1:2">
      <c r="A365" s="99" t="s">
        <v>695</v>
      </c>
      <c r="B365" s="99" t="e">
        <f>IF(#REF!="","",UPPER(#REF!))</f>
        <v>#REF!</v>
      </c>
    </row>
    <row r="366" spans="1:2">
      <c r="A366" s="99" t="s">
        <v>696</v>
      </c>
      <c r="B366" s="99" t="e">
        <f>IF(#REF!="","",UPPER(#REF!))</f>
        <v>#REF!</v>
      </c>
    </row>
    <row r="367" spans="1:2">
      <c r="A367" s="99" t="s">
        <v>697</v>
      </c>
      <c r="B367" s="99" t="e">
        <f>IF(#REF!="","",UPPER(#REF!))</f>
        <v>#REF!</v>
      </c>
    </row>
    <row r="368" spans="1:2">
      <c r="A368" s="99" t="s">
        <v>698</v>
      </c>
      <c r="B368" s="99" t="e">
        <f>IF(#REF!="","",UPPER(#REF!))</f>
        <v>#REF!</v>
      </c>
    </row>
    <row r="369" spans="1:2">
      <c r="A369" s="99" t="s">
        <v>699</v>
      </c>
      <c r="B369" s="99" t="e">
        <f>IF(#REF!="","",UPPER(#REF!))</f>
        <v>#REF!</v>
      </c>
    </row>
    <row r="370" spans="1:2">
      <c r="A370" s="99" t="s">
        <v>700</v>
      </c>
      <c r="B370" s="99" t="e">
        <f>IF(#REF!="","",UPPER(#REF!))</f>
        <v>#REF!</v>
      </c>
    </row>
    <row r="371" spans="1:2">
      <c r="A371" s="99" t="s">
        <v>701</v>
      </c>
      <c r="B371" s="99" t="e">
        <f>IF(#REF!="","",UPPER(#REF!))</f>
        <v>#REF!</v>
      </c>
    </row>
    <row r="372" spans="1:2">
      <c r="A372" s="99" t="s">
        <v>702</v>
      </c>
      <c r="B372" s="99" t="e">
        <f>IF(#REF!="","",UPPER(#REF!))</f>
        <v>#REF!</v>
      </c>
    </row>
    <row r="373" spans="1:2">
      <c r="A373" s="99" t="s">
        <v>703</v>
      </c>
      <c r="B373" s="99" t="e">
        <f>IF(#REF!="","",UPPER(#REF!))</f>
        <v>#REF!</v>
      </c>
    </row>
    <row r="374" spans="1:2">
      <c r="A374" s="99" t="s">
        <v>704</v>
      </c>
      <c r="B374" s="99" t="e">
        <f>IF(#REF!="","",UPPER(#REF!))</f>
        <v>#REF!</v>
      </c>
    </row>
    <row r="375" spans="1:2">
      <c r="A375" s="99" t="s">
        <v>705</v>
      </c>
      <c r="B375" s="99" t="e">
        <f>IF(#REF!="","",UPPER(#REF!))</f>
        <v>#REF!</v>
      </c>
    </row>
    <row r="376" spans="1:2">
      <c r="A376" s="99" t="s">
        <v>706</v>
      </c>
      <c r="B376" s="99" t="e">
        <f>IF(#REF!="","",UPPER(#REF!))</f>
        <v>#REF!</v>
      </c>
    </row>
    <row r="377" spans="1:2">
      <c r="A377" s="99" t="s">
        <v>707</v>
      </c>
      <c r="B377" s="99" t="e">
        <f>IF(#REF!="","",UPPER(#REF!))</f>
        <v>#REF!</v>
      </c>
    </row>
    <row r="378" spans="1:2">
      <c r="A378" s="99" t="s">
        <v>708</v>
      </c>
      <c r="B378" s="99" t="e">
        <f>IF(#REF!="","",UPPER(#REF!))</f>
        <v>#REF!</v>
      </c>
    </row>
    <row r="379" spans="1:2">
      <c r="A379" s="99" t="s">
        <v>709</v>
      </c>
      <c r="B379" s="99" t="e">
        <f>IF(#REF!="","",UPPER(#REF!))</f>
        <v>#REF!</v>
      </c>
    </row>
    <row r="380" spans="1:2">
      <c r="A380" s="99" t="s">
        <v>710</v>
      </c>
      <c r="B380" s="99" t="e">
        <f>IF(#REF!="","",UPPER(#REF!))</f>
        <v>#REF!</v>
      </c>
    </row>
    <row r="381" spans="1:2">
      <c r="A381" s="99" t="s">
        <v>711</v>
      </c>
      <c r="B381" s="99" t="e">
        <f>IF(#REF!="","",UPPER(#REF!))</f>
        <v>#REF!</v>
      </c>
    </row>
    <row r="382" spans="1:2">
      <c r="A382" s="99" t="s">
        <v>712</v>
      </c>
      <c r="B382" s="99" t="e">
        <f>IF(#REF!="","",UPPER(#REF!))</f>
        <v>#REF!</v>
      </c>
    </row>
    <row r="383" spans="1:2">
      <c r="A383" s="1" t="s">
        <v>713</v>
      </c>
      <c r="B383" s="99"/>
    </row>
    <row r="384" spans="1:2">
      <c r="A384" s="99" t="s">
        <v>714</v>
      </c>
      <c r="B384" s="99" t="e">
        <f>IF(#REF!="","",#REF!)</f>
        <v>#REF!</v>
      </c>
    </row>
    <row r="385" spans="1:2">
      <c r="A385" s="100" t="s">
        <v>797</v>
      </c>
      <c r="B385" s="100" t="e">
        <f>IF(#REF!="","",#REF!)</f>
        <v>#REF!</v>
      </c>
    </row>
    <row r="386" spans="1:2">
      <c r="A386" s="99" t="s">
        <v>715</v>
      </c>
      <c r="B386" s="99" t="e">
        <f>IF(COUNTA(#REF!,#REF!,#REF!,#REF!)=0,"",IF(#REF!=1,"NEW STAFF EDGE A/C",IF(#REF!=1,"NEW STAFF ACE A/C",IF(#REF!=1,"EXISTING STAFF EDGE A/C","EXISTING STAFF ACE A/C"))))</f>
        <v>#REF!</v>
      </c>
    </row>
    <row r="387" spans="1:2">
      <c r="A387" s="99" t="s">
        <v>716</v>
      </c>
      <c r="B387" s="99" t="e">
        <f>IF(#REF!="","",#REF!)</f>
        <v>#REF!</v>
      </c>
    </row>
    <row r="388" spans="1:2">
      <c r="A388" s="99" t="s">
        <v>717</v>
      </c>
      <c r="B388" s="99" t="e">
        <f>IF(#REF!="","",#REF!)</f>
        <v>#REF!</v>
      </c>
    </row>
    <row r="389" spans="1:2">
      <c r="A389" s="1" t="s">
        <v>718</v>
      </c>
      <c r="B389" s="99"/>
    </row>
    <row r="390" spans="1:2">
      <c r="A390" s="99" t="s">
        <v>719</v>
      </c>
      <c r="B390" s="99" t="str">
        <f>IF('IT Security Form'!D29="","",'IT Security Form'!D29)</f>
        <v/>
      </c>
    </row>
    <row r="391" spans="1:2">
      <c r="A391" s="1" t="s">
        <v>720</v>
      </c>
      <c r="B391" s="99"/>
    </row>
    <row r="392" spans="1:2">
      <c r="A392" s="99" t="s">
        <v>721</v>
      </c>
      <c r="B392" s="99" t="e">
        <f>IF(#REF!="","",#REF!)</f>
        <v>#REF!</v>
      </c>
    </row>
    <row r="393" spans="1:2">
      <c r="A393" s="100" t="s">
        <v>798</v>
      </c>
      <c r="B393" s="100" t="e">
        <f>IF(#REF!="","",#REF!)</f>
        <v>#REF!</v>
      </c>
    </row>
    <row r="394" spans="1:2">
      <c r="A394" s="99" t="s">
        <v>722</v>
      </c>
      <c r="B394" s="99" t="e">
        <f>IF(#REF!="","",#REF!)</f>
        <v>#REF!</v>
      </c>
    </row>
    <row r="395" spans="1:2">
      <c r="A395" s="99" t="s">
        <v>723</v>
      </c>
      <c r="B395" s="99" t="e">
        <f>IF(#REF!="","",#REF!)</f>
        <v>#REF!</v>
      </c>
    </row>
    <row r="396" spans="1:2">
      <c r="A396" s="99" t="s">
        <v>724</v>
      </c>
      <c r="B396" s="99" t="e">
        <f>IF(#REF!="","",#REF!)</f>
        <v>#REF!</v>
      </c>
    </row>
    <row r="397" spans="1:2">
      <c r="A397" s="99" t="s">
        <v>725</v>
      </c>
      <c r="B397" s="99" t="e">
        <f>IF(#REF!="","",#REF!)</f>
        <v>#REF!</v>
      </c>
    </row>
    <row r="398" spans="1:2">
      <c r="A398" s="99" t="s">
        <v>726</v>
      </c>
      <c r="B398" s="99" t="e">
        <f>IF(#REF!="","",#REF!)</f>
        <v>#REF!</v>
      </c>
    </row>
    <row r="399" spans="1:2">
      <c r="A399" s="99" t="s">
        <v>727</v>
      </c>
      <c r="B399" s="99" t="e">
        <f>IF(#REF!="","",#REF!)</f>
        <v>#REF!</v>
      </c>
    </row>
    <row r="400" spans="1:2">
      <c r="A400" s="99" t="s">
        <v>728</v>
      </c>
      <c r="B400" s="99" t="e">
        <f>IF(#REF!="","",#REF!)</f>
        <v>#REF!</v>
      </c>
    </row>
    <row r="401" spans="1:2">
      <c r="A401" s="99" t="s">
        <v>729</v>
      </c>
      <c r="B401" s="99" t="e">
        <f>IF(#REF!="","",#REF!)</f>
        <v>#REF!</v>
      </c>
    </row>
    <row r="402" spans="1:2">
      <c r="A402" s="99" t="s">
        <v>730</v>
      </c>
      <c r="B402" s="99" t="e">
        <f>IF(#REF!="","",#REF!)</f>
        <v>#REF!</v>
      </c>
    </row>
    <row r="403" spans="1:2">
      <c r="A403" s="99" t="s">
        <v>731</v>
      </c>
      <c r="B403" s="99" t="e">
        <f>IF(#REF!="","",#REF!)</f>
        <v>#REF!</v>
      </c>
    </row>
    <row r="404" spans="1:2">
      <c r="A404" s="99" t="s">
        <v>732</v>
      </c>
      <c r="B404" s="99" t="e">
        <f>IF(#REF!="","",#REF!)</f>
        <v>#REF!</v>
      </c>
    </row>
    <row r="405" spans="1:2">
      <c r="A405" s="99" t="s">
        <v>733</v>
      </c>
      <c r="B405" s="99" t="e">
        <f>IF(#REF!="","",#REF!)</f>
        <v>#REF!</v>
      </c>
    </row>
    <row r="406" spans="1:2">
      <c r="A406" s="99" t="s">
        <v>734</v>
      </c>
      <c r="B406" s="99" t="e">
        <f>IF(#REF!="","",#REF!)</f>
        <v>#REF!</v>
      </c>
    </row>
    <row r="407" spans="1:2">
      <c r="A407" s="99" t="s">
        <v>735</v>
      </c>
      <c r="B407" s="99" t="e">
        <f>IF(#REF!="","",#REF!)</f>
        <v>#REF!</v>
      </c>
    </row>
    <row r="408" spans="1:2">
      <c r="A408" s="99" t="s">
        <v>736</v>
      </c>
      <c r="B408" s="99" t="e">
        <f>IF(#REF!="","",#REF!)</f>
        <v>#REF!</v>
      </c>
    </row>
    <row r="409" spans="1:2">
      <c r="A409" s="99" t="s">
        <v>737</v>
      </c>
      <c r="B409" s="99" t="e">
        <f>IF(#REF!="","",#REF!)</f>
        <v>#REF!</v>
      </c>
    </row>
    <row r="410" spans="1:2">
      <c r="A410" s="99" t="s">
        <v>738</v>
      </c>
      <c r="B410" s="99" t="e">
        <f>IF(#REF!="","",#REF!)</f>
        <v>#REF!</v>
      </c>
    </row>
    <row r="411" spans="1:2">
      <c r="A411" s="99" t="s">
        <v>739</v>
      </c>
      <c r="B411" s="99" t="e">
        <f>IF(#REF!="","",#REF!)</f>
        <v>#REF!</v>
      </c>
    </row>
    <row r="412" spans="1:2">
      <c r="A412" s="99" t="s">
        <v>740</v>
      </c>
      <c r="B412" s="99" t="e">
        <f>IF(#REF!="","",#REF!)</f>
        <v>#REF!</v>
      </c>
    </row>
    <row r="413" spans="1:2">
      <c r="A413" s="99" t="s">
        <v>741</v>
      </c>
      <c r="B413" s="99" t="e">
        <f>IF(#REF!="","",#REF!)</f>
        <v>#REF!</v>
      </c>
    </row>
    <row r="414" spans="1:2">
      <c r="A414" s="99" t="s">
        <v>742</v>
      </c>
      <c r="B414" s="99" t="e">
        <f>IF(#REF!="","",#REF!)</f>
        <v>#REF!</v>
      </c>
    </row>
    <row r="415" spans="1:2">
      <c r="A415" s="99" t="s">
        <v>743</v>
      </c>
      <c r="B415" s="99" t="e">
        <f>IF(#REF!="","",#REF!)</f>
        <v>#REF!</v>
      </c>
    </row>
    <row r="416" spans="1:2">
      <c r="A416" s="99" t="s">
        <v>744</v>
      </c>
      <c r="B416" s="99" t="e">
        <f>IF(#REF!="","",#REF!)</f>
        <v>#REF!</v>
      </c>
    </row>
    <row r="417" spans="1:2">
      <c r="A417" s="99" t="s">
        <v>745</v>
      </c>
      <c r="B417" s="99" t="e">
        <f>IF(#REF!="","",#REF!)</f>
        <v>#REF!</v>
      </c>
    </row>
    <row r="418" spans="1:2">
      <c r="A418" s="99" t="s">
        <v>746</v>
      </c>
      <c r="B418" s="99" t="e">
        <f>IF(#REF!="","",#REF!)</f>
        <v>#REF!</v>
      </c>
    </row>
    <row r="419" spans="1:2">
      <c r="A419" s="99" t="s">
        <v>747</v>
      </c>
      <c r="B419" s="99" t="e">
        <f>IF(#REF!="","",#REF!)</f>
        <v>#REF!</v>
      </c>
    </row>
    <row r="420" spans="1:2">
      <c r="A420" s="99" t="s">
        <v>748</v>
      </c>
      <c r="B420" s="99" t="e">
        <f>IF(#REF!="","",#REF!)</f>
        <v>#REF!</v>
      </c>
    </row>
    <row r="421" spans="1:2">
      <c r="A421" s="99" t="s">
        <v>749</v>
      </c>
      <c r="B421" s="99" t="e">
        <f>IF(#REF!="","",#REF!)</f>
        <v>#REF!</v>
      </c>
    </row>
    <row r="422" spans="1:2">
      <c r="A422" s="99" t="s">
        <v>750</v>
      </c>
      <c r="B422" s="99" t="e">
        <f>IF(#REF!="","",#REF!)</f>
        <v>#REF!</v>
      </c>
    </row>
    <row r="423" spans="1:2">
      <c r="A423" s="99" t="s">
        <v>751</v>
      </c>
      <c r="B423" s="99" t="e">
        <f>IF(#REF!="","",#REF!)</f>
        <v>#REF!</v>
      </c>
    </row>
    <row r="424" spans="1:2">
      <c r="A424" s="99" t="s">
        <v>752</v>
      </c>
      <c r="B424" s="99" t="e">
        <f>IF(#REF!="","",#REF!)</f>
        <v>#REF!</v>
      </c>
    </row>
    <row r="425" spans="1:2">
      <c r="A425" s="99" t="s">
        <v>753</v>
      </c>
      <c r="B425" s="99" t="e">
        <f>IF(#REF!="","",#REF!)</f>
        <v>#REF!</v>
      </c>
    </row>
    <row r="426" spans="1:2">
      <c r="A426" s="99" t="s">
        <v>754</v>
      </c>
      <c r="B426" s="99" t="e">
        <f>IF(#REF!="","",#REF!)</f>
        <v>#REF!</v>
      </c>
    </row>
    <row r="427" spans="1:2">
      <c r="A427" s="99" t="s">
        <v>755</v>
      </c>
      <c r="B427" s="99" t="e">
        <f>IF(#REF!="","",#REF!)</f>
        <v>#REF!</v>
      </c>
    </row>
    <row r="428" spans="1:2">
      <c r="A428" s="99" t="s">
        <v>756</v>
      </c>
      <c r="B428" s="99" t="e">
        <f>IF(#REF!="","",#REF!)</f>
        <v>#REF!</v>
      </c>
    </row>
    <row r="429" spans="1:2">
      <c r="A429" s="99" t="s">
        <v>757</v>
      </c>
      <c r="B429" s="99" t="e">
        <f>IF(#REF!="","",#REF!)</f>
        <v>#REF!</v>
      </c>
    </row>
    <row r="430" spans="1:2">
      <c r="A430" s="99" t="s">
        <v>758</v>
      </c>
      <c r="B430" s="99" t="e">
        <f>IF(#REF!="","",#REF!)</f>
        <v>#REF!</v>
      </c>
    </row>
    <row r="431" spans="1:2">
      <c r="A431" s="99" t="s">
        <v>759</v>
      </c>
      <c r="B431" s="99" t="e">
        <f>IF(#REF!="","",#REF!)</f>
        <v>#REF!</v>
      </c>
    </row>
    <row r="432" spans="1:2">
      <c r="A432" s="99" t="s">
        <v>760</v>
      </c>
      <c r="B432" s="99" t="e">
        <f>IF(#REF!="","",#REF!)</f>
        <v>#REF!</v>
      </c>
    </row>
    <row r="433" spans="1:2">
      <c r="A433" s="99" t="s">
        <v>761</v>
      </c>
      <c r="B433" s="99" t="e">
        <f>IF(#REF!="","",#REF!)</f>
        <v>#REF!</v>
      </c>
    </row>
    <row r="434" spans="1:2">
      <c r="A434" s="99" t="s">
        <v>762</v>
      </c>
      <c r="B434" s="99" t="e">
        <f>IF(#REF!="","",#REF!)</f>
        <v>#REF!</v>
      </c>
    </row>
    <row r="435" spans="1:2">
      <c r="A435" s="99" t="s">
        <v>763</v>
      </c>
      <c r="B435" s="99" t="e">
        <f>IF(#REF!="","",#REF!)</f>
        <v>#REF!</v>
      </c>
    </row>
    <row r="436" spans="1:2">
      <c r="A436" s="99" t="s">
        <v>764</v>
      </c>
      <c r="B436" s="99" t="e">
        <f>IF(#REF!="","",#REF!)</f>
        <v>#REF!</v>
      </c>
    </row>
    <row r="437" spans="1:2">
      <c r="A437" s="99" t="s">
        <v>765</v>
      </c>
      <c r="B437" s="99" t="e">
        <f>IF(#REF!="","",#REF!)</f>
        <v>#REF!</v>
      </c>
    </row>
    <row r="438" spans="1:2">
      <c r="A438" s="99" t="s">
        <v>766</v>
      </c>
      <c r="B438" s="99" t="e">
        <f>IF(#REF!="","",#REF!)</f>
        <v>#REF!</v>
      </c>
    </row>
    <row r="439" spans="1:2">
      <c r="A439" s="99" t="s">
        <v>767</v>
      </c>
      <c r="B439" s="99" t="e">
        <f>IF(#REF!="","",#REF!)</f>
        <v>#REF!</v>
      </c>
    </row>
    <row r="440" spans="1:2">
      <c r="A440" s="99" t="s">
        <v>768</v>
      </c>
      <c r="B440" s="99" t="e">
        <f>IF(#REF!="","",#REF!)</f>
        <v>#REF!</v>
      </c>
    </row>
    <row r="441" spans="1:2">
      <c r="A441" s="99" t="s">
        <v>769</v>
      </c>
      <c r="B441" s="99" t="e">
        <f>IF(#REF!="","",#REF!)</f>
        <v>#REF!</v>
      </c>
    </row>
    <row r="442" spans="1:2">
      <c r="A442" s="99" t="s">
        <v>770</v>
      </c>
      <c r="B442" s="99" t="e">
        <f>IF(#REF!="","",#REF!)</f>
        <v>#REF!</v>
      </c>
    </row>
    <row r="443" spans="1:2">
      <c r="A443" s="99" t="s">
        <v>771</v>
      </c>
      <c r="B443" s="99" t="e">
        <f>IF(#REF!="","",#REF!)</f>
        <v>#REF!</v>
      </c>
    </row>
    <row r="444" spans="1:2">
      <c r="A444" s="99" t="s">
        <v>772</v>
      </c>
      <c r="B444" s="99" t="e">
        <f>IF(#REF!="","",#REF!)</f>
        <v>#REF!</v>
      </c>
    </row>
    <row r="445" spans="1:2">
      <c r="A445" s="99" t="s">
        <v>773</v>
      </c>
      <c r="B445" s="99" t="e">
        <f>IF(#REF!="","",#REF!)</f>
        <v>#REF!</v>
      </c>
    </row>
    <row r="446" spans="1:2">
      <c r="A446" s="99" t="s">
        <v>774</v>
      </c>
      <c r="B446" s="99" t="e">
        <f>IF(#REF!="","",#REF!)</f>
        <v>#REF!</v>
      </c>
    </row>
    <row r="447" spans="1:2">
      <c r="A447" s="99" t="s">
        <v>775</v>
      </c>
      <c r="B447" s="99" t="e">
        <f>IF(#REF!="","",#REF!)</f>
        <v>#REF!</v>
      </c>
    </row>
    <row r="448" spans="1:2">
      <c r="A448" s="99" t="s">
        <v>776</v>
      </c>
      <c r="B448" s="99" t="e">
        <f>IF(#REF!="","",#REF!)</f>
        <v>#REF!</v>
      </c>
    </row>
    <row r="449" spans="1:2">
      <c r="A449" s="99" t="s">
        <v>777</v>
      </c>
      <c r="B449" s="99" t="e">
        <f>IF(#REF!="","",#REF!)</f>
        <v>#REF!</v>
      </c>
    </row>
    <row r="450" spans="1:2">
      <c r="A450" s="99" t="s">
        <v>778</v>
      </c>
      <c r="B450" s="99" t="e">
        <f>IF(#REF!="","",#REF!)</f>
        <v>#REF!</v>
      </c>
    </row>
    <row r="451" spans="1:2">
      <c r="A451" s="99" t="s">
        <v>779</v>
      </c>
      <c r="B451" s="99" t="e">
        <f>IF(#REF!="","",#REF!)</f>
        <v>#REF!</v>
      </c>
    </row>
    <row r="452" spans="1:2">
      <c r="A452" s="99" t="s">
        <v>780</v>
      </c>
      <c r="B452" s="99" t="e">
        <f>IF(#REF!="","",#REF!)</f>
        <v>#REF!</v>
      </c>
    </row>
    <row r="453" spans="1:2">
      <c r="A453" s="99" t="s">
        <v>781</v>
      </c>
      <c r="B453" s="99" t="e">
        <f>IF(#REF!="","",#REF!)</f>
        <v>#REF!</v>
      </c>
    </row>
    <row r="454" spans="1:2">
      <c r="A454" s="99" t="s">
        <v>782</v>
      </c>
      <c r="B454" s="99" t="e">
        <f>IF(#REF!="","",#REF!)</f>
        <v>#REF!</v>
      </c>
    </row>
    <row r="455" spans="1:2">
      <c r="A455" s="99" t="s">
        <v>783</v>
      </c>
      <c r="B455" s="99" t="e">
        <f>IF(#REF!="","",#REF!)</f>
        <v>#REF!</v>
      </c>
    </row>
    <row r="456" spans="1:2">
      <c r="A456" s="99" t="s">
        <v>784</v>
      </c>
      <c r="B456" s="99" t="e">
        <f>IF(#REF!="","",#REF!)</f>
        <v>#REF!</v>
      </c>
    </row>
    <row r="457" spans="1:2">
      <c r="A457" s="99" t="s">
        <v>785</v>
      </c>
      <c r="B457" s="99" t="e">
        <f>IF(#REF!="","",#REF!)</f>
        <v>#REF!</v>
      </c>
    </row>
  </sheetData>
  <sheetProtection selectLockedCells="1" selectUnlockedCells="1"/>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8"/>
  <dimension ref="A1:A2"/>
  <sheetViews>
    <sheetView workbookViewId="0">
      <selection activeCell="A3" sqref="A3"/>
    </sheetView>
  </sheetViews>
  <sheetFormatPr defaultRowHeight="15"/>
  <sheetData>
    <row r="1" spans="1:1">
      <c r="A1" t="s">
        <v>935</v>
      </c>
    </row>
    <row r="2" spans="1:1">
      <c r="A2" t="s">
        <v>936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Instructions</vt:lpstr>
      <vt:lpstr>Employee Data Form</vt:lpstr>
      <vt:lpstr>Provident Fund</vt:lpstr>
      <vt:lpstr>EPFO</vt:lpstr>
      <vt:lpstr>Gratuity</vt:lpstr>
      <vt:lpstr>Insurance</vt:lpstr>
      <vt:lpstr>ID Card</vt:lpstr>
      <vt:lpstr>Share Dealing</vt:lpstr>
      <vt:lpstr>Corporate Policy</vt:lpstr>
      <vt:lpstr>IT Security Form</vt:lpstr>
      <vt:lpstr>Self Medical Declaration</vt:lpstr>
      <vt:lpstr>Certification</vt:lpstr>
      <vt:lpstr>Data Capture</vt:lpstr>
      <vt:lpstr>Sheet1</vt:lpstr>
      <vt:lpstr>Certification!Print_Area</vt:lpstr>
      <vt:lpstr>'Employee Data Form'!Print_Area</vt:lpstr>
      <vt:lpstr>'Provident Fund'!Print_Area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Santosh R. Kadam (Ext, Support Division, KMBL);shaiju.philips@kotak.com</dc:creator>
  <cp:lastModifiedBy>admin</cp:lastModifiedBy>
  <cp:lastPrinted>2021-06-12T10:28:21Z</cp:lastPrinted>
  <dcterms:created xsi:type="dcterms:W3CDTF">2012-07-26T04:36:50Z</dcterms:created>
  <dcterms:modified xsi:type="dcterms:W3CDTF">2022-11-30T06:57:40Z</dcterms:modified>
</cp:coreProperties>
</file>